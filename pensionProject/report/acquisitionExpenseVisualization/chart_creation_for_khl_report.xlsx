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9\Data Analysis\payMe\kokoAung\project\pensionProject\report\acquisitionExpenseVisualization\"/>
    </mc:Choice>
  </mc:AlternateContent>
  <xr:revisionPtr revIDLastSave="0" documentId="13_ncr:1_{262F1CDB-7E89-4D82-85AF-73429EF2F707}" xr6:coauthVersionLast="47" xr6:coauthVersionMax="47" xr10:uidLastSave="{00000000-0000-0000-0000-000000000000}"/>
  <bookViews>
    <workbookView xWindow="-108" yWindow="-108" windowWidth="23256" windowHeight="12456" activeTab="1" xr2:uid="{A1F69904-0BE9-4FD3-8DA9-9550333D8CAA}"/>
  </bookViews>
  <sheets>
    <sheet name="book" sheetId="1" r:id="rId1"/>
    <sheet name="Sheet1" sheetId="2" r:id="rId2"/>
  </sheets>
  <definedNames>
    <definedName name="_xlnm._FilterDatabase" localSheetId="1" hidden="1">Sheet1!$A$56:$B$56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7" i="2" l="1"/>
  <c r="D58" i="2"/>
  <c r="D59" i="2"/>
  <c r="D60" i="2"/>
  <c r="D61" i="2"/>
  <c r="F34" i="1"/>
  <c r="D26" i="2" l="1"/>
  <c r="D25" i="2"/>
  <c r="F33" i="1"/>
  <c r="G26" i="1"/>
  <c r="F49" i="1"/>
  <c r="C26" i="2"/>
  <c r="C25" i="2"/>
  <c r="C23" i="2"/>
  <c r="D23" i="2" s="1"/>
  <c r="E7" i="2"/>
  <c r="F7" i="2" s="1"/>
  <c r="G6" i="2"/>
  <c r="G7" i="2" s="1"/>
  <c r="F6" i="2"/>
  <c r="H3" i="2"/>
  <c r="D3" i="2"/>
  <c r="F3" i="2" s="1"/>
  <c r="E45" i="1"/>
  <c r="G44" i="1"/>
  <c r="G43" i="1"/>
  <c r="G42" i="1"/>
  <c r="G41" i="1"/>
  <c r="G40" i="1"/>
  <c r="F56" i="1"/>
  <c r="F25" i="1"/>
  <c r="F28" i="1" s="1"/>
  <c r="F18" i="1"/>
  <c r="G18" i="1" s="1"/>
  <c r="G17" i="1"/>
  <c r="F16" i="1"/>
  <c r="G16" i="1" s="1"/>
  <c r="F15" i="1"/>
  <c r="E9" i="1"/>
  <c r="E10" i="1"/>
  <c r="D62" i="2" l="1"/>
  <c r="C27" i="2"/>
  <c r="D27" i="2"/>
  <c r="G45" i="1"/>
  <c r="F50" i="1" s="1"/>
  <c r="F20" i="1"/>
  <c r="G15" i="1"/>
  <c r="G20" i="1" s="1"/>
  <c r="F29" i="1"/>
  <c r="F30" i="1" s="1"/>
  <c r="F31" i="1" s="1"/>
  <c r="F32" i="1" s="1"/>
  <c r="F58" i="1" l="1"/>
  <c r="F60" i="1" s="1"/>
  <c r="F62" i="1" s="1"/>
  <c r="F52" i="1" l="1"/>
  <c r="G49" i="1" s="1"/>
</calcChain>
</file>

<file path=xl/sharedStrings.xml><?xml version="1.0" encoding="utf-8"?>
<sst xmlns="http://schemas.openxmlformats.org/spreadsheetml/2006/main" count="127" uniqueCount="90">
  <si>
    <t>Subj</t>
  </si>
  <si>
    <t>: For Nay Pyi Taw Region's Estimate Man Power &amp; Expenses</t>
  </si>
  <si>
    <t>No</t>
  </si>
  <si>
    <t>Description</t>
  </si>
  <si>
    <t>September</t>
  </si>
  <si>
    <t>Working Days</t>
  </si>
  <si>
    <t>DSE Qty</t>
  </si>
  <si>
    <t>Total Visit Agent No. in 1 month</t>
  </si>
  <si>
    <t xml:space="preserve"> Effective Agent Qty per day</t>
  </si>
  <si>
    <t>Total Effective Agent Per Month</t>
  </si>
  <si>
    <t>For Estimate Expenses (Per Month)</t>
  </si>
  <si>
    <t>Qty</t>
  </si>
  <si>
    <t>Unit Cost  (MMK)</t>
  </si>
  <si>
    <t>Total Cost (MMK)</t>
  </si>
  <si>
    <t>Motorcycle</t>
  </si>
  <si>
    <t>-</t>
  </si>
  <si>
    <t xml:space="preserve">Fule Cost </t>
  </si>
  <si>
    <t>Estimate Salary (DSE)</t>
  </si>
  <si>
    <t>Travelling + Maintainance</t>
  </si>
  <si>
    <t>Estimate Salary (TSM)</t>
  </si>
  <si>
    <t>Car</t>
  </si>
  <si>
    <t>Total</t>
  </si>
  <si>
    <t>Total NPD Pensioner Count</t>
  </si>
  <si>
    <t>Average Pension Amount per Pensioner</t>
  </si>
  <si>
    <t>Estimated Montly Pension Amount (100% cash withdraw)</t>
  </si>
  <si>
    <t>One billion one hundred fifty-two million two hundred fifty thousand Kyats</t>
  </si>
  <si>
    <t>Estimate Forecast Special Agent</t>
  </si>
  <si>
    <t>Estimated Cash Capacity Amount per Agent ( ^30 pensioners - within Target 21-25) 6P.C per day</t>
  </si>
  <si>
    <t>Estimated Required Agent No.</t>
  </si>
  <si>
    <t>Actual PayMe Acquired Agent qty</t>
  </si>
  <si>
    <t xml:space="preserve">Acuatl total Cash Capacity Amount </t>
  </si>
  <si>
    <t>Growth Rate Amount (Ks)</t>
  </si>
  <si>
    <t>Growth Rate %</t>
  </si>
  <si>
    <t xml:space="preserve">Average Agent fee (0.44%) per Cash Out </t>
  </si>
  <si>
    <t>Total Cash out fee (Ave)</t>
  </si>
  <si>
    <t xml:space="preserve">Acquisition Cost </t>
  </si>
  <si>
    <t>Unit Price (MMK)</t>
  </si>
  <si>
    <t>Vinyl (6'x3') 300 D</t>
  </si>
  <si>
    <t>Vinyl (2'x4') 300 D</t>
  </si>
  <si>
    <t>Sticker Poster (1'x1')</t>
  </si>
  <si>
    <t>Note Book</t>
  </si>
  <si>
    <t>Seasonal Special Gift (Calendar)</t>
  </si>
  <si>
    <t xml:space="preserve">Expenditure for Acquisition Period (01month ) </t>
  </si>
  <si>
    <t>Estimate General Expenses (TSM &amp; DSE Salary + Other Cost)</t>
  </si>
  <si>
    <t xml:space="preserve">Agent Acquisition Cost , Merchadising (For September Month) </t>
  </si>
  <si>
    <t xml:space="preserve">Total Cost </t>
  </si>
  <si>
    <t>Montly Expenditure Operation Period  01 Year</t>
  </si>
  <si>
    <t xml:space="preserve">Cost for Pensioner Cash out : FOC for 01 year </t>
  </si>
  <si>
    <t xml:space="preserve">Total Cash out fee (Ave) </t>
  </si>
  <si>
    <t>Agent Acquisition Cost , Merchadising, Marketing cost (brand awarenss, enagaement, …)</t>
  </si>
  <si>
    <t>Total Expenditure for Agent Network Department</t>
  </si>
  <si>
    <t>Total cost per month ( for 06 month)</t>
  </si>
  <si>
    <t>Visit Outlet Per Day</t>
  </si>
  <si>
    <t>Visited Outlet Per Day</t>
  </si>
  <si>
    <t>No. of Effective Agents Per Day</t>
  </si>
  <si>
    <t>Job Description</t>
  </si>
  <si>
    <t>Vistited Outlet Per Month</t>
  </si>
  <si>
    <t>Working Days Per Month</t>
  </si>
  <si>
    <t>Per Day Work Done</t>
  </si>
  <si>
    <t>Expected Per Month Work Done</t>
  </si>
  <si>
    <t>Effective Work Done</t>
  </si>
  <si>
    <t>Per Day</t>
  </si>
  <si>
    <t>Visited Outlet</t>
  </si>
  <si>
    <t>Total Visited Outlet</t>
  </si>
  <si>
    <t>No. of Effective Outlet</t>
  </si>
  <si>
    <t>Visited Outlet Per DSE</t>
  </si>
  <si>
    <t>Grand Total</t>
  </si>
  <si>
    <t>Cost Description</t>
  </si>
  <si>
    <t>Manpower</t>
  </si>
  <si>
    <t>Per Day Cost</t>
  </si>
  <si>
    <t>Per Month Cost(Working Day-22 days)</t>
  </si>
  <si>
    <t>Travelling &amp; Maintainance Fee</t>
  </si>
  <si>
    <t>Fuel Cost</t>
  </si>
  <si>
    <t>Estimated Salary For DSE</t>
  </si>
  <si>
    <t>Estimated Salary For TSM</t>
  </si>
  <si>
    <t>Per Month(Working Day-22 days)</t>
  </si>
  <si>
    <t>Item Qty</t>
  </si>
  <si>
    <t>Item Unit Price (MMK)</t>
  </si>
  <si>
    <t>Total Cost(MMK)</t>
  </si>
  <si>
    <t>Amount(MMK)</t>
  </si>
  <si>
    <t>Estimated General Expenses (TSM &amp; DSE Salary + Other Costs)</t>
  </si>
  <si>
    <t xml:space="preserve">Total Cash out fee (Avg) </t>
  </si>
  <si>
    <t>Total Pensioner in Naypyitaw</t>
  </si>
  <si>
    <t>Estimated Montly Pension Amount</t>
  </si>
  <si>
    <t>Average Pension Withdraw Amount per Pensioner at one time</t>
  </si>
  <si>
    <t>Total Cash out fee (Avg)</t>
  </si>
  <si>
    <t xml:space="preserve">Acual total Cash Capacity Amount </t>
  </si>
  <si>
    <t>Amount</t>
  </si>
  <si>
    <t xml:space="preserve">Average Monthly Withdraw Amount Per Pensioner </t>
  </si>
  <si>
    <t>Total Amount (MMK)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</si>
</sst>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2"/>
      <name val="Times New Roman"/>
      <family val="1"/>
    </font>
    <font>
      <u/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rgb="FF474747"/>
      <name val="Times New Roman"/>
      <family val="1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9" fontId="2" fillId="0" borderId="0" xfId="3" applyFont="1"/>
    <xf numFmtId="0" fontId="5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164" fontId="2" fillId="0" borderId="1" xfId="2" applyFont="1" applyBorder="1" applyAlignment="1">
      <alignment horizontal="center" vertical="center"/>
    </xf>
    <xf numFmtId="164" fontId="6" fillId="0" borderId="1" xfId="2" applyFont="1" applyBorder="1" applyAlignment="1">
      <alignment horizontal="center" vertical="center"/>
    </xf>
    <xf numFmtId="164" fontId="2" fillId="0" borderId="0" xfId="0" applyNumberFormat="1" applyFont="1"/>
    <xf numFmtId="164" fontId="2" fillId="0" borderId="0" xfId="2" applyFont="1"/>
    <xf numFmtId="0" fontId="2" fillId="0" borderId="2" xfId="0" applyFont="1" applyBorder="1" applyAlignment="1">
      <alignment horizontal="center" vertical="center"/>
    </xf>
    <xf numFmtId="43" fontId="7" fillId="0" borderId="1" xfId="1" applyFont="1" applyBorder="1" applyAlignment="1">
      <alignment horizontal="center" vertical="center"/>
    </xf>
    <xf numFmtId="0" fontId="7" fillId="0" borderId="1" xfId="0" applyFont="1" applyBorder="1"/>
    <xf numFmtId="0" fontId="7" fillId="0" borderId="0" xfId="0" applyFont="1"/>
    <xf numFmtId="164" fontId="2" fillId="0" borderId="1" xfId="2" applyFont="1" applyBorder="1"/>
    <xf numFmtId="1" fontId="2" fillId="0" borderId="1" xfId="0" applyNumberFormat="1" applyFont="1" applyBorder="1" applyAlignment="1">
      <alignment horizontal="center" vertical="center"/>
    </xf>
    <xf numFmtId="165" fontId="2" fillId="0" borderId="1" xfId="1" applyNumberFormat="1" applyFont="1" applyFill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65" fontId="6" fillId="0" borderId="1" xfId="1" applyNumberFormat="1" applyFont="1" applyFill="1" applyBorder="1" applyAlignment="1">
      <alignment vertical="center"/>
    </xf>
    <xf numFmtId="165" fontId="2" fillId="0" borderId="0" xfId="0" applyNumberFormat="1" applyFont="1"/>
    <xf numFmtId="9" fontId="2" fillId="0" borderId="1" xfId="3" applyFont="1" applyFill="1" applyBorder="1" applyAlignment="1">
      <alignment vertical="center"/>
    </xf>
    <xf numFmtId="0" fontId="2" fillId="0" borderId="0" xfId="0" applyFont="1" applyAlignment="1">
      <alignment vertical="center"/>
    </xf>
    <xf numFmtId="165" fontId="2" fillId="0" borderId="1" xfId="1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165" fontId="7" fillId="0" borderId="1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0" xfId="1" applyNumberFormat="1" applyFont="1" applyBorder="1" applyAlignment="1">
      <alignment horizontal="center" vertical="center"/>
    </xf>
    <xf numFmtId="165" fontId="2" fillId="3" borderId="1" xfId="1" applyNumberFormat="1" applyFont="1" applyFill="1" applyBorder="1" applyAlignment="1">
      <alignment vertical="center"/>
    </xf>
    <xf numFmtId="165" fontId="2" fillId="0" borderId="1" xfId="1" applyNumberFormat="1" applyFont="1" applyFill="1" applyBorder="1" applyAlignment="1">
      <alignment horizontal="right" vertical="center"/>
    </xf>
    <xf numFmtId="0" fontId="7" fillId="0" borderId="2" xfId="0" applyFont="1" applyBorder="1" applyAlignment="1">
      <alignment horizontal="left" vertical="center"/>
    </xf>
    <xf numFmtId="165" fontId="7" fillId="4" borderId="1" xfId="1" applyNumberFormat="1" applyFont="1" applyFill="1" applyBorder="1" applyAlignment="1">
      <alignment horizontal="right" vertical="center"/>
    </xf>
    <xf numFmtId="165" fontId="2" fillId="3" borderId="1" xfId="1" applyNumberFormat="1" applyFont="1" applyFill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165" fontId="4" fillId="4" borderId="1" xfId="1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164" fontId="7" fillId="5" borderId="1" xfId="2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7" fillId="0" borderId="4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2" fillId="9" borderId="1" xfId="0" applyFont="1" applyFill="1" applyBorder="1" applyAlignment="1">
      <alignment horizontal="center" vertical="center" wrapText="1"/>
    </xf>
    <xf numFmtId="165" fontId="0" fillId="0" borderId="0" xfId="0" applyNumberFormat="1"/>
    <xf numFmtId="165" fontId="0" fillId="0" borderId="0" xfId="1" applyNumberFormat="1" applyFont="1"/>
    <xf numFmtId="43" fontId="2" fillId="0" borderId="0" xfId="0" applyNumberFormat="1" applyFont="1"/>
    <xf numFmtId="0" fontId="0" fillId="6" borderId="0" xfId="0" applyFill="1"/>
    <xf numFmtId="165" fontId="0" fillId="6" borderId="0" xfId="1" applyNumberFormat="1" applyFont="1" applyFill="1"/>
    <xf numFmtId="0" fontId="0" fillId="10" borderId="0" xfId="0" applyFill="1"/>
    <xf numFmtId="165" fontId="0" fillId="10" borderId="0" xfId="1" applyNumberFormat="1" applyFont="1" applyFill="1"/>
    <xf numFmtId="1" fontId="0" fillId="6" borderId="0" xfId="0" applyNumberFormat="1" applyFill="1"/>
    <xf numFmtId="0" fontId="0" fillId="11" borderId="0" xfId="0" applyFill="1"/>
    <xf numFmtId="9" fontId="0" fillId="11" borderId="0" xfId="3" applyFont="1" applyFill="1"/>
    <xf numFmtId="0" fontId="9" fillId="0" borderId="0" xfId="0" applyFont="1"/>
    <xf numFmtId="165" fontId="9" fillId="0" borderId="0" xfId="1" applyNumberFormat="1" applyFont="1"/>
    <xf numFmtId="0" fontId="0" fillId="0" borderId="0" xfId="0" applyAlignment="1">
      <alignment wrapText="1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1" fontId="2" fillId="3" borderId="3" xfId="0" applyNumberFormat="1" applyFont="1" applyFill="1" applyBorder="1" applyAlignment="1">
      <alignment horizontal="left" vertical="center"/>
    </xf>
    <xf numFmtId="1" fontId="2" fillId="3" borderId="4" xfId="0" applyNumberFormat="1" applyFont="1" applyFill="1" applyBorder="1" applyAlignment="1">
      <alignment horizontal="left" vertical="center"/>
    </xf>
    <xf numFmtId="1" fontId="2" fillId="3" borderId="2" xfId="0" applyNumberFormat="1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7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</cellXfs>
  <cellStyles count="4">
    <cellStyle name="Comma" xfId="1" builtinId="3"/>
    <cellStyle name="Comma [0]" xfId="2" builtinId="6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Acquisition Expense</a:t>
            </a:r>
          </a:p>
        </c:rich>
      </c:tx>
      <c:layout>
        <c:manualLayout>
          <c:xMode val="edge"/>
          <c:yMode val="edge"/>
          <c:x val="0.3011596675415573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book!$E$39</c:f>
              <c:strCache>
                <c:ptCount val="1"/>
                <c:pt idx="0">
                  <c:v>Qty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book!$D$40:$D$44</c:f>
              <c:strCache>
                <c:ptCount val="5"/>
                <c:pt idx="0">
                  <c:v>Vinyl (6'x3') 300 D</c:v>
                </c:pt>
                <c:pt idx="1">
                  <c:v>Vinyl (2'x4') 300 D</c:v>
                </c:pt>
                <c:pt idx="2">
                  <c:v>Sticker Poster (1'x1')</c:v>
                </c:pt>
                <c:pt idx="3">
                  <c:v>Note Book</c:v>
                </c:pt>
                <c:pt idx="4">
                  <c:v>Seasonal Special Gift (Calendar)</c:v>
                </c:pt>
              </c:strCache>
            </c:strRef>
          </c:cat>
          <c:val>
            <c:numRef>
              <c:f>book!$E$40:$E$44</c:f>
              <c:numCache>
                <c:formatCode>General</c:formatCode>
                <c:ptCount val="5"/>
                <c:pt idx="0">
                  <c:v>100</c:v>
                </c:pt>
                <c:pt idx="1">
                  <c:v>380</c:v>
                </c:pt>
                <c:pt idx="2">
                  <c:v>1000</c:v>
                </c:pt>
                <c:pt idx="3">
                  <c:v>200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3-4730-8D02-EE42BE0F5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1227151"/>
        <c:axId val="1391229071"/>
      </c:barChart>
      <c:lineChart>
        <c:grouping val="standard"/>
        <c:varyColors val="0"/>
        <c:ser>
          <c:idx val="1"/>
          <c:order val="1"/>
          <c:tx>
            <c:strRef>
              <c:f>book!$G$39</c:f>
              <c:strCache>
                <c:ptCount val="1"/>
                <c:pt idx="0">
                  <c:v>Total Amount (MMK)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book!$D$40:$D$44</c:f>
              <c:strCache>
                <c:ptCount val="5"/>
                <c:pt idx="0">
                  <c:v>Vinyl (6'x3') 300 D</c:v>
                </c:pt>
                <c:pt idx="1">
                  <c:v>Vinyl (2'x4') 300 D</c:v>
                </c:pt>
                <c:pt idx="2">
                  <c:v>Sticker Poster (1'x1')</c:v>
                </c:pt>
                <c:pt idx="3">
                  <c:v>Note Book</c:v>
                </c:pt>
                <c:pt idx="4">
                  <c:v>Seasonal Special Gift (Calendar)</c:v>
                </c:pt>
              </c:strCache>
            </c:strRef>
          </c:cat>
          <c:val>
            <c:numRef>
              <c:f>book!$G$40:$G$44</c:f>
              <c:numCache>
                <c:formatCode>_(* #,##0_);_(* \(#,##0\);_(* "-"??_);_(@_)</c:formatCode>
                <c:ptCount val="5"/>
                <c:pt idx="0">
                  <c:v>1170000</c:v>
                </c:pt>
                <c:pt idx="1">
                  <c:v>1976000</c:v>
                </c:pt>
                <c:pt idx="2">
                  <c:v>950000</c:v>
                </c:pt>
                <c:pt idx="3">
                  <c:v>600000</c:v>
                </c:pt>
                <c:pt idx="4">
                  <c:v>1200000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93-4730-8D02-EE42BE0F5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4057583"/>
        <c:axId val="1391209871"/>
      </c:lineChart>
      <c:catAx>
        <c:axId val="139122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229071"/>
        <c:crosses val="autoZero"/>
        <c:auto val="1"/>
        <c:lblAlgn val="ctr"/>
        <c:lblOffset val="100"/>
        <c:noMultiLvlLbl val="0"/>
      </c:catAx>
      <c:valAx>
        <c:axId val="1391229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227151"/>
        <c:crosses val="autoZero"/>
        <c:crossBetween val="between"/>
      </c:valAx>
      <c:valAx>
        <c:axId val="1391209871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057583"/>
        <c:crosses val="max"/>
        <c:crossBetween val="between"/>
      </c:valAx>
      <c:catAx>
        <c:axId val="12940575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912098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Visited Agent Outlet &amp; Effectiveness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09984015797512"/>
          <c:y val="0.19802654366292174"/>
          <c:w val="0.70030053380115109"/>
          <c:h val="0.517982889133363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Sheet1!$F$5</c:f>
              <c:strCache>
                <c:ptCount val="1"/>
                <c:pt idx="0">
                  <c:v>Total Visited Outlet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Sheet1!$C$6:$C$7</c:f>
              <c:strCache>
                <c:ptCount val="2"/>
                <c:pt idx="0">
                  <c:v>Per Day</c:v>
                </c:pt>
                <c:pt idx="1">
                  <c:v>Per Month(Working Day-22 days)</c:v>
                </c:pt>
              </c:strCache>
            </c:strRef>
          </c:cat>
          <c:val>
            <c:numRef>
              <c:f>Sheet1!$F$6:$F$7</c:f>
              <c:numCache>
                <c:formatCode>General</c:formatCode>
                <c:ptCount val="2"/>
                <c:pt idx="0">
                  <c:v>150</c:v>
                </c:pt>
                <c:pt idx="1">
                  <c:v>3300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D8-4D46-BD82-B9C809C1B965}"/>
            </c:ext>
          </c:extLst>
        </c:ser>
        <c:ser>
          <c:idx val="1"/>
          <c:order val="1"/>
          <c:tx>
            <c:strRef>
              <c:f>Sheet1!$G$5</c:f>
              <c:strCache>
                <c:ptCount val="1"/>
                <c:pt idx="0">
                  <c:v>No. of Effective Outlet</c:v>
                </c:pt>
              </c:strCache>
            </c:strRef>
          </c:tx>
          <c:spPr>
            <a:solidFill>
              <a:schemeClr val="bg2">
                <a:lumMod val="50000"/>
                <a:alpha val="5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Sheet1!$C$6:$C$7</c:f>
              <c:strCache>
                <c:ptCount val="2"/>
                <c:pt idx="0">
                  <c:v>Per Day</c:v>
                </c:pt>
                <c:pt idx="1">
                  <c:v>Per Month(Working Day-22 days)</c:v>
                </c:pt>
              </c:strCache>
            </c:strRef>
          </c:cat>
          <c:val>
            <c:numRef>
              <c:f>Sheet1!$G$6:$G$7</c:f>
              <c:numCache>
                <c:formatCode>General</c:formatCode>
                <c:ptCount val="2"/>
                <c:pt idx="0">
                  <c:v>42</c:v>
                </c:pt>
                <c:pt idx="1">
                  <c:v>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D8-4D46-BD82-B9C809C1B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14"/>
        <c:axId val="1042951024"/>
        <c:axId val="1042893088"/>
      </c:barChart>
      <c:catAx>
        <c:axId val="104295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893088"/>
        <c:crosses val="autoZero"/>
        <c:auto val="1"/>
        <c:lblAlgn val="ctr"/>
        <c:lblOffset val="100"/>
        <c:noMultiLvlLbl val="0"/>
      </c:catAx>
      <c:valAx>
        <c:axId val="104289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90000"/>
                  <a:alpha val="50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95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979672422252857"/>
          <c:y val="0.6238136271500373"/>
          <c:w val="0.19020320829461534"/>
          <c:h val="0.22589229037807537"/>
        </c:manualLayout>
      </c:layout>
      <c:overlay val="0"/>
      <c:spPr>
        <a:noFill/>
        <a:ln>
          <a:solidFill>
            <a:schemeClr val="bg2">
              <a:lumMod val="90000"/>
            </a:schemeClr>
          </a:solidFill>
          <a:prstDash val="sysDot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017544217825958E-3"/>
          <c:y val="0.1719119351100811"/>
          <c:w val="0.71100613843463112"/>
          <c:h val="0.743739199459858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Sheet1!$A$78</c:f>
              <c:strCache>
                <c:ptCount val="1"/>
                <c:pt idx="0">
                  <c:v>Estimated General Expenses (TSM &amp; DSE Salary + Other Costs)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Sheet1!$A$77</c:f>
              <c:strCache>
                <c:ptCount val="1"/>
                <c:pt idx="0">
                  <c:v>Expenditure for Acquisition Period (01month ) </c:v>
                </c:pt>
              </c:strCache>
            </c:strRef>
          </c:cat>
          <c:val>
            <c:numRef>
              <c:f>Sheet1!$B$78</c:f>
              <c:numCache>
                <c:formatCode>_(* #,##0_);_(* \(#,##0\);_(* "-"??_);_(@_)</c:formatCode>
                <c:ptCount val="1"/>
                <c:pt idx="0">
                  <c:v>4280000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0C-44FA-A427-81439E1F479B}"/>
            </c:ext>
          </c:extLst>
        </c:ser>
        <c:ser>
          <c:idx val="1"/>
          <c:order val="1"/>
          <c:tx>
            <c:strRef>
              <c:f>Sheet1!$A$79</c:f>
              <c:strCache>
                <c:ptCount val="1"/>
                <c:pt idx="0">
                  <c:v>Agent Acquisition Cost , Merchadising (For September Month)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Sheet1!$A$77</c:f>
              <c:strCache>
                <c:ptCount val="1"/>
                <c:pt idx="0">
                  <c:v>Expenditure for Acquisition Period (01month ) </c:v>
                </c:pt>
              </c:strCache>
            </c:strRef>
          </c:cat>
          <c:val>
            <c:numRef>
              <c:f>Sheet1!$B$79</c:f>
              <c:numCache>
                <c:formatCode>_(* #,##0_);_(* \(#,##0\);_(* "-"??_);_(@_)</c:formatCode>
                <c:ptCount val="1"/>
                <c:pt idx="0">
                  <c:v>5896000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0C-44FA-A427-81439E1F47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4300223"/>
        <c:axId val="194298975"/>
      </c:barChart>
      <c:barChart>
        <c:barDir val="col"/>
        <c:grouping val="clustered"/>
        <c:varyColors val="0"/>
        <c:ser>
          <c:idx val="2"/>
          <c:order val="2"/>
          <c:tx>
            <c:strRef>
              <c:f>Sheet1!$A$80</c:f>
              <c:strCache>
                <c:ptCount val="1"/>
                <c:pt idx="0">
                  <c:v>Total Cost </c:v>
                </c:pt>
              </c:strCache>
            </c:strRef>
          </c:tx>
          <c:spPr>
            <a:solidFill>
              <a:srgbClr val="00B050">
                <a:alpha val="10000"/>
              </a:srgbClr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0577777777777776"/>
                      <c:h val="7.393518518518517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CA0C-44FA-A427-81439E1F47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Sheet1!$B$80</c:f>
              <c:numCache>
                <c:formatCode>_(* #,##0_);_(* \(#,##0\);_(* "-"??_);_(@_)</c:formatCode>
                <c:ptCount val="1"/>
                <c:pt idx="0">
                  <c:v>10176000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0C-44FA-A427-81439E1F47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0"/>
        <c:overlap val="-27"/>
        <c:axId val="197799423"/>
        <c:axId val="304991215"/>
      </c:barChart>
      <c:catAx>
        <c:axId val="19430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98975"/>
        <c:crosses val="autoZero"/>
        <c:auto val="1"/>
        <c:lblAlgn val="ctr"/>
        <c:lblOffset val="100"/>
        <c:noMultiLvlLbl val="0"/>
      </c:catAx>
      <c:valAx>
        <c:axId val="194298975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94300223"/>
        <c:crosses val="autoZero"/>
        <c:crossBetween val="between"/>
      </c:valAx>
      <c:valAx>
        <c:axId val="304991215"/>
        <c:scaling>
          <c:orientation val="minMax"/>
        </c:scaling>
        <c:delete val="1"/>
        <c:axPos val="r"/>
        <c:numFmt formatCode="_(* #,##0_);_(* \(#,##0\);_(* &quot;-&quot;??_);_(@_)" sourceLinked="1"/>
        <c:majorTickMark val="out"/>
        <c:minorTickMark val="none"/>
        <c:tickLblPos val="nextTo"/>
        <c:crossAx val="197799423"/>
        <c:crosses val="max"/>
        <c:crossBetween val="between"/>
      </c:valAx>
      <c:catAx>
        <c:axId val="197799423"/>
        <c:scaling>
          <c:orientation val="minMax"/>
        </c:scaling>
        <c:delete val="1"/>
        <c:axPos val="b"/>
        <c:majorTickMark val="out"/>
        <c:minorTickMark val="none"/>
        <c:tickLblPos val="nextTo"/>
        <c:crossAx val="3049912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798333367360134"/>
          <c:y val="0.37998594903331179"/>
          <c:w val="0.26851228027194218"/>
          <c:h val="0.53708488061240323"/>
        </c:manualLayout>
      </c:layout>
      <c:overlay val="0"/>
      <c:spPr>
        <a:noFill/>
        <a:ln>
          <a:solidFill>
            <a:sysClr val="windowText" lastClr="000000">
              <a:lumMod val="25000"/>
              <a:lumOff val="75000"/>
            </a:sysClr>
          </a:solidFill>
          <a:prstDash val="sysDot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Expenditure</a:t>
            </a:r>
            <a:r>
              <a:rPr lang="en-US" baseline="0"/>
              <a:t> Distribution Per Month(MMK)</a:t>
            </a:r>
            <a:endParaRPr lang="en-US"/>
          </a:p>
        </c:rich>
      </c:tx>
      <c:layout>
        <c:manualLayout>
          <c:xMode val="edge"/>
          <c:yMode val="edge"/>
          <c:x val="9.1214128035320072E-2"/>
          <c:y val="4.908136482939632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42607174103249E-4"/>
          <c:y val="0.21800925925925929"/>
          <c:w val="0.72130796150481202"/>
          <c:h val="0.677527075986667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Sheet1!$A$96</c:f>
              <c:strCache>
                <c:ptCount val="1"/>
                <c:pt idx="0">
                  <c:v>Total Cash out fee (Avg)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Expenditure Amount(MMK)</c:v>
              </c:pt>
            </c:strLit>
          </c:cat>
          <c:val>
            <c:numRef>
              <c:f>Sheet1!$B$96</c:f>
              <c:numCache>
                <c:formatCode>_(* #,##0_);_(* \(#,##0\);_(* "-"??_);_(@_)</c:formatCode>
                <c:ptCount val="1"/>
                <c:pt idx="0">
                  <c:v>10731248.000000002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C-46FB-A305-69C3168113AB}"/>
            </c:ext>
          </c:extLst>
        </c:ser>
        <c:ser>
          <c:idx val="1"/>
          <c:order val="1"/>
          <c:tx>
            <c:strRef>
              <c:f>Sheet1!$A$95</c:f>
              <c:strCache>
                <c:ptCount val="1"/>
                <c:pt idx="0">
                  <c:v>Total Expenditure for Agent Network Department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Expenditure Amount(MMK)</c:v>
              </c:pt>
            </c:strLit>
          </c:cat>
          <c:val>
            <c:numRef>
              <c:f>Sheet1!$B$95</c:f>
              <c:numCache>
                <c:formatCode>_(* #,##0_);_(* \(#,##0\);_(* "-"??_);_(@_)</c:formatCode>
                <c:ptCount val="1"/>
                <c:pt idx="0">
                  <c:v>6541667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3C-46FB-A305-69C3168113A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2076127"/>
        <c:axId val="912086111"/>
      </c:barChart>
      <c:barChart>
        <c:barDir val="col"/>
        <c:grouping val="clustered"/>
        <c:varyColors val="0"/>
        <c:ser>
          <c:idx val="2"/>
          <c:order val="2"/>
          <c:tx>
            <c:strRef>
              <c:f>Sheet1!$A$97</c:f>
              <c:strCache>
                <c:ptCount val="1"/>
                <c:pt idx="0">
                  <c:v>Total cost per month ( for 06 month)</c:v>
                </c:pt>
              </c:strCache>
            </c:strRef>
          </c:tx>
          <c:spPr>
            <a:solidFill>
              <a:srgbClr val="00B050">
                <a:alpha val="10000"/>
              </a:srgb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8CFC572-815E-4213-97EB-B2781EF18DD9}" type="SERIESNAME">
                      <a:rPr lang="en-US"/>
                      <a:pPr>
                        <a:defRPr/>
                      </a:pPr>
                      <a:t>[SERIES NAME]</a:t>
                    </a:fld>
                    <a:r>
                      <a:rPr lang="en-US" baseline="0"/>
                      <a:t>; </a:t>
                    </a:r>
                    <a:fld id="{AC13348E-2ED7-44BE-819A-A3C43FBBAF1D}" type="VALUE">
                      <a:rPr lang="en-US" baseline="0"/>
                      <a:pPr>
                        <a:defRPr/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8331960160609058"/>
                      <c:h val="0.1776976033733488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A73C-46FB-A305-69C3168113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Sheet1!$B$97</c:f>
              <c:numCache>
                <c:formatCode>_(* #,##0_);_(* \(#,##0\);_(* "-"??_);_(@_)</c:formatCode>
                <c:ptCount val="1"/>
                <c:pt idx="0">
                  <c:v>17272915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3C-46FB-A305-69C3168113A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912200959"/>
        <c:axId val="912103583"/>
      </c:barChart>
      <c:catAx>
        <c:axId val="91207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086111"/>
        <c:crosses val="autoZero"/>
        <c:auto val="1"/>
        <c:lblAlgn val="ctr"/>
        <c:lblOffset val="100"/>
        <c:noMultiLvlLbl val="0"/>
      </c:catAx>
      <c:valAx>
        <c:axId val="912086111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912076127"/>
        <c:crosses val="autoZero"/>
        <c:crossBetween val="between"/>
      </c:valAx>
      <c:valAx>
        <c:axId val="912103583"/>
        <c:scaling>
          <c:orientation val="minMax"/>
        </c:scaling>
        <c:delete val="1"/>
        <c:axPos val="r"/>
        <c:numFmt formatCode="_(* #,##0_);_(* \(#,##0\);_(* &quot;-&quot;??_);_(@_)" sourceLinked="1"/>
        <c:majorTickMark val="out"/>
        <c:minorTickMark val="none"/>
        <c:tickLblPos val="nextTo"/>
        <c:crossAx val="912200959"/>
        <c:crosses val="max"/>
        <c:crossBetween val="between"/>
      </c:valAx>
      <c:catAx>
        <c:axId val="912200959"/>
        <c:scaling>
          <c:orientation val="minMax"/>
        </c:scaling>
        <c:delete val="1"/>
        <c:axPos val="b"/>
        <c:majorTickMark val="out"/>
        <c:minorTickMark val="none"/>
        <c:tickLblPos val="nextTo"/>
        <c:crossAx val="912103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349387576552916"/>
          <c:y val="0.36768336249635464"/>
          <c:w val="0.24983945756780401"/>
          <c:h val="0.52893846602508021"/>
        </c:manualLayout>
      </c:layout>
      <c:overlay val="0"/>
      <c:spPr>
        <a:noFill/>
        <a:ln>
          <a:solidFill>
            <a:sysClr val="windowText" lastClr="000000">
              <a:lumMod val="25000"/>
              <a:lumOff val="75000"/>
            </a:sysClr>
          </a:solidFill>
          <a:prstDash val="sysDot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Expenditure Distribution of Agent Network Dept</a:t>
            </a:r>
          </a:p>
        </c:rich>
      </c:tx>
      <c:layout>
        <c:manualLayout>
          <c:xMode val="edge"/>
          <c:yMode val="edge"/>
          <c:x val="0.13365966754155731"/>
          <c:y val="4.474552412791979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Sheet1!$A$93</c:f>
              <c:strCache>
                <c:ptCount val="1"/>
                <c:pt idx="0">
                  <c:v>Estimate General Expenses (TSM &amp; DSE Salary + Other Cost)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Expenditure Amount(MMK)</c:v>
              </c:pt>
            </c:strLit>
          </c:cat>
          <c:val>
            <c:numRef>
              <c:f>Sheet1!$B$93</c:f>
              <c:numCache>
                <c:formatCode>_(* #,##0_);_(* \(#,##0\);_(* "-"??_);_(@_)</c:formatCode>
                <c:ptCount val="1"/>
                <c:pt idx="0">
                  <c:v>4280000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FD-4B52-9786-714162EDCB6B}"/>
            </c:ext>
          </c:extLst>
        </c:ser>
        <c:ser>
          <c:idx val="1"/>
          <c:order val="1"/>
          <c:tx>
            <c:strRef>
              <c:f>Sheet1!$A$94</c:f>
              <c:strCache>
                <c:ptCount val="1"/>
                <c:pt idx="0">
                  <c:v>Agent Acquisition Cost , Merchadising, Marketing cost (brand awarenss, enagaement, …)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Expenditure Amount(MMK)</c:v>
              </c:pt>
            </c:strLit>
          </c:cat>
          <c:val>
            <c:numRef>
              <c:f>Sheet1!$B$94</c:f>
              <c:numCache>
                <c:formatCode>_(* #,##0_);_(* \(#,##0\);_(* "-"??_);_(@_)</c:formatCode>
                <c:ptCount val="1"/>
                <c:pt idx="0">
                  <c:v>2261667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FD-4B52-9786-714162EDCB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6412335"/>
        <c:axId val="916416911"/>
      </c:barChart>
      <c:barChart>
        <c:barDir val="col"/>
        <c:grouping val="clustered"/>
        <c:varyColors val="0"/>
        <c:ser>
          <c:idx val="2"/>
          <c:order val="2"/>
          <c:tx>
            <c:strRef>
              <c:f>Sheet1!$A$95</c:f>
              <c:strCache>
                <c:ptCount val="1"/>
                <c:pt idx="0">
                  <c:v>Total Expenditure for Agent Network Department</c:v>
                </c:pt>
              </c:strCache>
            </c:strRef>
          </c:tx>
          <c:spPr>
            <a:solidFill>
              <a:srgbClr val="00B050">
                <a:alpha val="1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Sheet1!$B$95</c:f>
              <c:numCache>
                <c:formatCode>_(* #,##0_);_(* \(#,##0\);_(* "-"??_);_(@_)</c:formatCode>
                <c:ptCount val="1"/>
                <c:pt idx="0">
                  <c:v>6541667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FD-4B52-9786-714162EDCB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0"/>
        <c:overlap val="-27"/>
        <c:axId val="825850687"/>
        <c:axId val="825831135"/>
      </c:barChart>
      <c:catAx>
        <c:axId val="91641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416911"/>
        <c:crosses val="autoZero"/>
        <c:auto val="1"/>
        <c:lblAlgn val="ctr"/>
        <c:lblOffset val="100"/>
        <c:noMultiLvlLbl val="0"/>
      </c:catAx>
      <c:valAx>
        <c:axId val="916416911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916412335"/>
        <c:crosses val="autoZero"/>
        <c:crossBetween val="between"/>
      </c:valAx>
      <c:valAx>
        <c:axId val="825831135"/>
        <c:scaling>
          <c:orientation val="minMax"/>
        </c:scaling>
        <c:delete val="1"/>
        <c:axPos val="r"/>
        <c:numFmt formatCode="_(* #,##0_);_(* \(#,##0\);_(* &quot;-&quot;??_);_(@_)" sourceLinked="1"/>
        <c:majorTickMark val="out"/>
        <c:minorTickMark val="none"/>
        <c:tickLblPos val="nextTo"/>
        <c:crossAx val="825850687"/>
        <c:crosses val="max"/>
        <c:crossBetween val="between"/>
      </c:valAx>
      <c:catAx>
        <c:axId val="825850687"/>
        <c:scaling>
          <c:orientation val="minMax"/>
        </c:scaling>
        <c:delete val="1"/>
        <c:axPos val="b"/>
        <c:majorTickMark val="out"/>
        <c:minorTickMark val="none"/>
        <c:tickLblPos val="nextTo"/>
        <c:crossAx val="8258311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775809273840768"/>
          <c:y val="0.18870716579421987"/>
          <c:w val="0.32557524059492565"/>
          <c:h val="0.70155060924646984"/>
        </c:manualLayout>
      </c:layout>
      <c:overlay val="0"/>
      <c:spPr>
        <a:noFill/>
        <a:ln>
          <a:solidFill>
            <a:sysClr val="windowText" lastClr="000000">
              <a:lumMod val="25000"/>
              <a:lumOff val="75000"/>
            </a:sysClr>
          </a:solidFill>
          <a:prstDash val="sysDot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Item</a:t>
            </a:r>
            <a:r>
              <a:rPr lang="en-US" baseline="0"/>
              <a:t> Quantity &amp; Uint Price (MMK)</a:t>
            </a:r>
            <a:endParaRPr lang="en-US"/>
          </a:p>
        </c:rich>
      </c:tx>
      <c:layout>
        <c:manualLayout>
          <c:xMode val="edge"/>
          <c:yMode val="edge"/>
          <c:x val="0.17338188976377955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Sheet1!$A$57</c:f>
              <c:strCache>
                <c:ptCount val="1"/>
                <c:pt idx="0">
                  <c:v>Vinyl (2'x4') 300 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Sheet1!$B$56:$C$56</c:f>
              <c:strCache>
                <c:ptCount val="2"/>
                <c:pt idx="0">
                  <c:v>Item Qty</c:v>
                </c:pt>
                <c:pt idx="1">
                  <c:v>Item Unit Price (MMK)</c:v>
                </c:pt>
              </c:strCache>
            </c:strRef>
          </c:cat>
          <c:val>
            <c:numRef>
              <c:f>Sheet1!$B$57:$C$57</c:f>
              <c:numCache>
                <c:formatCode>_-* #,##0_-;\-* #,##0_-;_-* "-"_-;_-@_-</c:formatCode>
                <c:ptCount val="2"/>
                <c:pt idx="0" formatCode="General">
                  <c:v>380</c:v>
                </c:pt>
                <c:pt idx="1">
                  <c:v>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8E-437C-A5E6-E7BBE3E83CAC}"/>
            </c:ext>
          </c:extLst>
        </c:ser>
        <c:ser>
          <c:idx val="1"/>
          <c:order val="1"/>
          <c:tx>
            <c:strRef>
              <c:f>Sheet1!$A$58</c:f>
              <c:strCache>
                <c:ptCount val="1"/>
                <c:pt idx="0">
                  <c:v>Seasonal Special Gift (Calendar)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Sheet1!$B$56:$C$56</c:f>
              <c:strCache>
                <c:ptCount val="2"/>
                <c:pt idx="0">
                  <c:v>Item Qty</c:v>
                </c:pt>
                <c:pt idx="1">
                  <c:v>Item Unit Price (MMK)</c:v>
                </c:pt>
              </c:strCache>
            </c:strRef>
          </c:cat>
          <c:val>
            <c:numRef>
              <c:f>Sheet1!$B$58:$C$58</c:f>
              <c:numCache>
                <c:formatCode>_-* #,##0_-;\-* #,##0_-;_-* "-"_-;_-@_-</c:formatCode>
                <c:ptCount val="2"/>
                <c:pt idx="0" formatCode="General">
                  <c:v>120</c:v>
                </c:pt>
                <c:pt idx="1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8E-437C-A5E6-E7BBE3E83CAC}"/>
            </c:ext>
          </c:extLst>
        </c:ser>
        <c:ser>
          <c:idx val="2"/>
          <c:order val="2"/>
          <c:tx>
            <c:strRef>
              <c:f>Sheet1!$A$59</c:f>
              <c:strCache>
                <c:ptCount val="1"/>
                <c:pt idx="0">
                  <c:v>Vinyl (6'x3') 300 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Sheet1!$B$56:$C$56</c:f>
              <c:strCache>
                <c:ptCount val="2"/>
                <c:pt idx="0">
                  <c:v>Item Qty</c:v>
                </c:pt>
                <c:pt idx="1">
                  <c:v>Item Unit Price (MMK)</c:v>
                </c:pt>
              </c:strCache>
            </c:strRef>
          </c:cat>
          <c:val>
            <c:numRef>
              <c:f>Sheet1!$B$59:$C$59</c:f>
              <c:numCache>
                <c:formatCode>_-* #,##0_-;\-* #,##0_-;_-* "-"_-;_-@_-</c:formatCode>
                <c:ptCount val="2"/>
                <c:pt idx="0" formatCode="General">
                  <c:v>100</c:v>
                </c:pt>
                <c:pt idx="1">
                  <c:v>11700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8E-437C-A5E6-E7BBE3E83CAC}"/>
            </c:ext>
          </c:extLst>
        </c:ser>
        <c:ser>
          <c:idx val="3"/>
          <c:order val="3"/>
          <c:tx>
            <c:strRef>
              <c:f>Sheet1!$A$60</c:f>
              <c:strCache>
                <c:ptCount val="1"/>
                <c:pt idx="0">
                  <c:v>Sticker Poster (1'x1')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Sheet1!$B$56:$C$56</c:f>
              <c:strCache>
                <c:ptCount val="2"/>
                <c:pt idx="0">
                  <c:v>Item Qty</c:v>
                </c:pt>
                <c:pt idx="1">
                  <c:v>Item Unit Price (MMK)</c:v>
                </c:pt>
              </c:strCache>
            </c:strRef>
          </c:cat>
          <c:val>
            <c:numRef>
              <c:f>Sheet1!$B$60:$C$60</c:f>
              <c:numCache>
                <c:formatCode>_-* #,##0_-;\-* #,##0_-;_-* "-"_-;_-@_-</c:formatCode>
                <c:ptCount val="2"/>
                <c:pt idx="0" formatCode="General">
                  <c:v>1000</c:v>
                </c:pt>
                <c:pt idx="1">
                  <c:v>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8E-437C-A5E6-E7BBE3E83CAC}"/>
            </c:ext>
          </c:extLst>
        </c:ser>
        <c:ser>
          <c:idx val="4"/>
          <c:order val="4"/>
          <c:tx>
            <c:strRef>
              <c:f>Sheet1!$A$61</c:f>
              <c:strCache>
                <c:ptCount val="1"/>
                <c:pt idx="0">
                  <c:v>Note Book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Sheet1!$B$56:$C$56</c:f>
              <c:strCache>
                <c:ptCount val="2"/>
                <c:pt idx="0">
                  <c:v>Item Qty</c:v>
                </c:pt>
                <c:pt idx="1">
                  <c:v>Item Unit Price (MMK)</c:v>
                </c:pt>
              </c:strCache>
            </c:strRef>
          </c:cat>
          <c:val>
            <c:numRef>
              <c:f>Sheet1!$B$61:$C$61</c:f>
              <c:numCache>
                <c:formatCode>_-* #,##0_-;\-* #,##0_-;_-* "-"_-;_-@_-</c:formatCode>
                <c:ptCount val="2"/>
                <c:pt idx="0" formatCode="General">
                  <c:v>200</c:v>
                </c:pt>
                <c:pt idx="1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8E-437C-A5E6-E7BBE3E83C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51305616"/>
        <c:axId val="1251311024"/>
      </c:barChart>
      <c:catAx>
        <c:axId val="125130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311024"/>
        <c:crosses val="autoZero"/>
        <c:auto val="1"/>
        <c:lblAlgn val="ctr"/>
        <c:lblOffset val="100"/>
        <c:noMultiLvlLbl val="0"/>
      </c:catAx>
      <c:valAx>
        <c:axId val="12513110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5130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Cost(MMK) Per Item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428571428571431E-2"/>
          <c:y val="0.21882005899705015"/>
          <c:w val="0.6701167604049495"/>
          <c:h val="0.644317004622209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Sheet1!$A$57</c:f>
              <c:strCache>
                <c:ptCount val="1"/>
                <c:pt idx="0">
                  <c:v>Vinyl (2'x4') 300 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Sheet1!$D$56</c:f>
              <c:strCache>
                <c:ptCount val="1"/>
                <c:pt idx="0">
                  <c:v>Total Cost(MMK)</c:v>
                </c:pt>
              </c:strCache>
            </c:strRef>
          </c:cat>
          <c:val>
            <c:numRef>
              <c:f>Sheet1!$D$57</c:f>
              <c:numCache>
                <c:formatCode>_(* #,##0_);_(* \(#,##0\);_(* "-"??_);_(@_)</c:formatCode>
                <c:ptCount val="1"/>
                <c:pt idx="0">
                  <c:v>1976000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01-46A5-A977-7552C8E29BD2}"/>
            </c:ext>
          </c:extLst>
        </c:ser>
        <c:ser>
          <c:idx val="1"/>
          <c:order val="1"/>
          <c:tx>
            <c:strRef>
              <c:f>Sheet1!$A$58</c:f>
              <c:strCache>
                <c:ptCount val="1"/>
                <c:pt idx="0">
                  <c:v>Seasonal Special Gift (Calendar)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Sheet1!$D$56</c:f>
              <c:strCache>
                <c:ptCount val="1"/>
                <c:pt idx="0">
                  <c:v>Total Cost(MMK)</c:v>
                </c:pt>
              </c:strCache>
            </c:strRef>
          </c:cat>
          <c:val>
            <c:numRef>
              <c:f>Sheet1!$D$58</c:f>
              <c:numCache>
                <c:formatCode>_(* #,##0_);_(* \(#,##0\);_(* "-"??_);_(@_)</c:formatCode>
                <c:ptCount val="1"/>
                <c:pt idx="0">
                  <c:v>1200000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01-46A5-A977-7552C8E29BD2}"/>
            </c:ext>
          </c:extLst>
        </c:ser>
        <c:ser>
          <c:idx val="2"/>
          <c:order val="2"/>
          <c:tx>
            <c:strRef>
              <c:f>Sheet1!$A$59</c:f>
              <c:strCache>
                <c:ptCount val="1"/>
                <c:pt idx="0">
                  <c:v>Vinyl (6'x3') 300 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Sheet1!$D$56</c:f>
              <c:strCache>
                <c:ptCount val="1"/>
                <c:pt idx="0">
                  <c:v>Total Cost(MMK)</c:v>
                </c:pt>
              </c:strCache>
            </c:strRef>
          </c:cat>
          <c:val>
            <c:numRef>
              <c:f>Sheet1!$D$59</c:f>
              <c:numCache>
                <c:formatCode>_(* #,##0_);_(* \(#,##0\);_(* "-"??_);_(@_)</c:formatCode>
                <c:ptCount val="1"/>
                <c:pt idx="0">
                  <c:v>1170000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01-46A5-A977-7552C8E29BD2}"/>
            </c:ext>
          </c:extLst>
        </c:ser>
        <c:ser>
          <c:idx val="3"/>
          <c:order val="3"/>
          <c:tx>
            <c:strRef>
              <c:f>Sheet1!$A$60</c:f>
              <c:strCache>
                <c:ptCount val="1"/>
                <c:pt idx="0">
                  <c:v>Sticker Poster (1'x1')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Sheet1!$D$56</c:f>
              <c:strCache>
                <c:ptCount val="1"/>
                <c:pt idx="0">
                  <c:v>Total Cost(MMK)</c:v>
                </c:pt>
              </c:strCache>
            </c:strRef>
          </c:cat>
          <c:val>
            <c:numRef>
              <c:f>Sheet1!$D$60</c:f>
              <c:numCache>
                <c:formatCode>_(* #,##0_);_(* \(#,##0\);_(* "-"??_);_(@_)</c:formatCode>
                <c:ptCount val="1"/>
                <c:pt idx="0">
                  <c:v>950000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01-46A5-A977-7552C8E29BD2}"/>
            </c:ext>
          </c:extLst>
        </c:ser>
        <c:ser>
          <c:idx val="4"/>
          <c:order val="4"/>
          <c:tx>
            <c:strRef>
              <c:f>Sheet1!$A$61</c:f>
              <c:strCache>
                <c:ptCount val="1"/>
                <c:pt idx="0">
                  <c:v>Note Book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Sheet1!$D$56</c:f>
              <c:strCache>
                <c:ptCount val="1"/>
                <c:pt idx="0">
                  <c:v>Total Cost(MMK)</c:v>
                </c:pt>
              </c:strCache>
            </c:strRef>
          </c:cat>
          <c:val>
            <c:numRef>
              <c:f>Sheet1!$D$61</c:f>
              <c:numCache>
                <c:formatCode>_(* #,##0_);_(* \(#,##0\);_(* "-"??_);_(@_)</c:formatCode>
                <c:ptCount val="1"/>
                <c:pt idx="0">
                  <c:v>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01-46A5-A977-7552C8E29B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1244124912"/>
        <c:axId val="1244124496"/>
      </c:barChart>
      <c:barChart>
        <c:barDir val="col"/>
        <c:grouping val="clustered"/>
        <c:varyColors val="0"/>
        <c:ser>
          <c:idx val="5"/>
          <c:order val="5"/>
          <c:tx>
            <c:v>Total Cost(MMK)</c:v>
          </c:tx>
          <c:spPr>
            <a:solidFill>
              <a:srgbClr val="00B050">
                <a:alpha val="10000"/>
              </a:srgb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0936132983377078E-7"/>
                  <c:y val="4.629629629629629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1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6501377952755898"/>
                      <c:h val="9.245370370370370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5901-46A5-A977-7552C8E29B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Sheet1!$D$62</c:f>
              <c:numCache>
                <c:formatCode>_(* #,##0_);_(* \(#,##0\);_(* "-"??_);_(@_)</c:formatCode>
                <c:ptCount val="1"/>
                <c:pt idx="0">
                  <c:v>5896000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901-46A5-A977-7552C8E29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1251308528"/>
        <c:axId val="1251306448"/>
      </c:barChart>
      <c:catAx>
        <c:axId val="124412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124496"/>
        <c:crosses val="autoZero"/>
        <c:auto val="1"/>
        <c:lblAlgn val="ctr"/>
        <c:lblOffset val="100"/>
        <c:noMultiLvlLbl val="0"/>
      </c:catAx>
      <c:valAx>
        <c:axId val="1244124496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244124912"/>
        <c:crosses val="autoZero"/>
        <c:crossBetween val="between"/>
      </c:valAx>
      <c:valAx>
        <c:axId val="1251306448"/>
        <c:scaling>
          <c:orientation val="minMax"/>
        </c:scaling>
        <c:delete val="1"/>
        <c:axPos val="r"/>
        <c:numFmt formatCode="_(* #,##0_);_(* \(#,##0\);_(* &quot;-&quot;??_);_(@_)" sourceLinked="1"/>
        <c:majorTickMark val="out"/>
        <c:minorTickMark val="none"/>
        <c:tickLblPos val="nextTo"/>
        <c:crossAx val="1251308528"/>
        <c:crosses val="max"/>
        <c:crossBetween val="between"/>
      </c:valAx>
      <c:catAx>
        <c:axId val="1251308528"/>
        <c:scaling>
          <c:orientation val="minMax"/>
        </c:scaling>
        <c:delete val="1"/>
        <c:axPos val="b"/>
        <c:majorTickMark val="out"/>
        <c:minorTickMark val="none"/>
        <c:tickLblPos val="nextTo"/>
        <c:crossAx val="1251306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959167604049491"/>
          <c:y val="0.20177659030313705"/>
          <c:w val="0.25374168853893264"/>
          <c:h val="0.66234244986594071"/>
        </c:manualLayout>
      </c:layout>
      <c:overlay val="0"/>
      <c:spPr>
        <a:noFill/>
        <a:ln>
          <a:solidFill>
            <a:schemeClr val="bg2">
              <a:lumMod val="90000"/>
            </a:schemeClr>
          </a:solidFill>
          <a:prstDash val="sysDot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 Day Cost(MMK)</a:t>
            </a:r>
          </a:p>
        </c:rich>
      </c:tx>
      <c:layout>
        <c:manualLayout>
          <c:xMode val="edge"/>
          <c:yMode val="edge"/>
          <c:x val="0.3517599238148329"/>
          <c:y val="4.290508843550190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264503441494594E-2"/>
          <c:y val="0.21030620645808815"/>
          <c:w val="0.91347099311701085"/>
          <c:h val="0.584443851136442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Sheet1!$A$23</c:f>
              <c:strCache>
                <c:ptCount val="1"/>
                <c:pt idx="0">
                  <c:v>Fuel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Sheet1!$C$22</c:f>
              <c:strCache>
                <c:ptCount val="1"/>
                <c:pt idx="0">
                  <c:v>Per Day Cost</c:v>
                </c:pt>
              </c:strCache>
            </c:strRef>
          </c:cat>
          <c:val>
            <c:numRef>
              <c:f>Sheet1!$C$23</c:f>
              <c:numCache>
                <c:formatCode>_-* #,##0_-;\-* #,##0_-;_-* "-"_-;_-@_-</c:formatCode>
                <c:ptCount val="1"/>
                <c:pt idx="0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3E-41AE-AE2E-29E31EE43E96}"/>
            </c:ext>
          </c:extLst>
        </c:ser>
        <c:ser>
          <c:idx val="1"/>
          <c:order val="1"/>
          <c:tx>
            <c:strRef>
              <c:f>Sheet1!$A$24</c:f>
              <c:strCache>
                <c:ptCount val="1"/>
                <c:pt idx="0">
                  <c:v>Travelling &amp; Maintainance Fee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Sheet1!$C$22</c:f>
              <c:strCache>
                <c:ptCount val="1"/>
                <c:pt idx="0">
                  <c:v>Per Day Cost</c:v>
                </c:pt>
              </c:strCache>
            </c:strRef>
          </c:cat>
          <c:val>
            <c:numRef>
              <c:f>Sheet1!$C$24</c:f>
              <c:numCache>
                <c:formatCode>_-* #,##0_-;\-* #,##0_-;_-* "-"_-;_-@_-</c:formatCode>
                <c:ptCount val="1"/>
                <c:pt idx="0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3E-41AE-AE2E-29E31EE43E96}"/>
            </c:ext>
          </c:extLst>
        </c:ser>
        <c:ser>
          <c:idx val="2"/>
          <c:order val="2"/>
          <c:tx>
            <c:strRef>
              <c:f>Sheet1!$A$25</c:f>
              <c:strCache>
                <c:ptCount val="1"/>
                <c:pt idx="0">
                  <c:v>Estimated Salary For DSE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Sheet1!$C$22</c:f>
              <c:strCache>
                <c:ptCount val="1"/>
                <c:pt idx="0">
                  <c:v>Per Day Cost</c:v>
                </c:pt>
              </c:strCache>
            </c:strRef>
          </c:cat>
          <c:val>
            <c:numRef>
              <c:f>Sheet1!$C$25</c:f>
              <c:numCache>
                <c:formatCode>_-* #,##0_-;\-* #,##0_-;_-* "-"_-;_-@_-</c:formatCode>
                <c:ptCount val="1"/>
                <c:pt idx="0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3E-41AE-AE2E-29E31EE43E96}"/>
            </c:ext>
          </c:extLst>
        </c:ser>
        <c:ser>
          <c:idx val="3"/>
          <c:order val="3"/>
          <c:tx>
            <c:strRef>
              <c:f>Sheet1!$A$26</c:f>
              <c:strCache>
                <c:ptCount val="1"/>
                <c:pt idx="0">
                  <c:v>Estimated Salary For TSM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Sheet1!$C$22</c:f>
              <c:strCache>
                <c:ptCount val="1"/>
                <c:pt idx="0">
                  <c:v>Per Day Cost</c:v>
                </c:pt>
              </c:strCache>
            </c:strRef>
          </c:cat>
          <c:val>
            <c:numRef>
              <c:f>Sheet1!$C$26</c:f>
              <c:numCache>
                <c:formatCode>_-* #,##0_-;\-* #,##0_-;_-* "-"_-;_-@_-</c:formatCode>
                <c:ptCount val="1"/>
                <c:pt idx="0">
                  <c:v>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3E-41AE-AE2E-29E31EE43E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19"/>
        <c:axId val="803660256"/>
        <c:axId val="803653600"/>
      </c:barChart>
      <c:barChart>
        <c:barDir val="col"/>
        <c:grouping val="clustered"/>
        <c:varyColors val="0"/>
        <c:ser>
          <c:idx val="4"/>
          <c:order val="4"/>
          <c:tx>
            <c:v>Total Cost(MMK)</c:v>
          </c:tx>
          <c:spPr>
            <a:solidFill>
              <a:srgbClr val="00B050">
                <a:alpha val="10000"/>
              </a:srgbClr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7138643067846608"/>
                      <c:h val="9.418656788245428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183E-41AE-AE2E-29E31EE43E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Sheet1!$C$27</c:f>
              <c:numCache>
                <c:formatCode>_(* #,##0_);_(* \(#,##0\);_(* "-"??_);_(@_)</c:formatCode>
                <c:ptCount val="1"/>
                <c:pt idx="0">
                  <c:v>1255000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3E-41AE-AE2E-29E31EE43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244128240"/>
        <c:axId val="1244125328"/>
      </c:barChart>
      <c:catAx>
        <c:axId val="80366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653600"/>
        <c:crosses val="autoZero"/>
        <c:auto val="1"/>
        <c:lblAlgn val="ctr"/>
        <c:lblOffset val="100"/>
        <c:noMultiLvlLbl val="0"/>
      </c:catAx>
      <c:valAx>
        <c:axId val="803653600"/>
        <c:scaling>
          <c:orientation val="minMax"/>
        </c:scaling>
        <c:delete val="1"/>
        <c:axPos val="l"/>
        <c:numFmt formatCode="_-* #,##0_-;\-* #,##0_-;_-* &quot;-&quot;_-;_-@_-" sourceLinked="1"/>
        <c:majorTickMark val="none"/>
        <c:minorTickMark val="none"/>
        <c:tickLblPos val="nextTo"/>
        <c:crossAx val="803660256"/>
        <c:crosses val="autoZero"/>
        <c:crossBetween val="between"/>
      </c:valAx>
      <c:valAx>
        <c:axId val="1244125328"/>
        <c:scaling>
          <c:orientation val="minMax"/>
        </c:scaling>
        <c:delete val="1"/>
        <c:axPos val="r"/>
        <c:numFmt formatCode="_(* #,##0_);_(* \(#,##0\);_(* &quot;-&quot;??_);_(@_)" sourceLinked="1"/>
        <c:majorTickMark val="out"/>
        <c:minorTickMark val="none"/>
        <c:tickLblPos val="nextTo"/>
        <c:crossAx val="1244128240"/>
        <c:crosses val="max"/>
        <c:crossBetween val="between"/>
      </c:valAx>
      <c:catAx>
        <c:axId val="1244128240"/>
        <c:scaling>
          <c:orientation val="minMax"/>
        </c:scaling>
        <c:delete val="1"/>
        <c:axPos val="b"/>
        <c:majorTickMark val="out"/>
        <c:minorTickMark val="none"/>
        <c:tickLblPos val="nextTo"/>
        <c:crossAx val="12441253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 Month Cost (Working Day-22 days)</a:t>
            </a:r>
          </a:p>
        </c:rich>
      </c:tx>
      <c:layout>
        <c:manualLayout>
          <c:xMode val="edge"/>
          <c:yMode val="edge"/>
          <c:x val="0.1673267326732673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2023297005879039E-2"/>
          <c:y val="0.17171296296296296"/>
          <c:w val="0.74395519866947324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Sheet1!$A$23</c:f>
              <c:strCache>
                <c:ptCount val="1"/>
                <c:pt idx="0">
                  <c:v>Fuel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Sheet1!$D$22</c:f>
              <c:strCache>
                <c:ptCount val="1"/>
                <c:pt idx="0">
                  <c:v>Per Month Cost(Working Day-22 days)</c:v>
                </c:pt>
              </c:strCache>
            </c:strRef>
          </c:cat>
          <c:val>
            <c:numRef>
              <c:f>Sheet1!$D$23</c:f>
              <c:numCache>
                <c:formatCode>_-* #,##0_-;\-* #,##0_-;_-* "-"_-;_-@_-</c:formatCode>
                <c:ptCount val="1"/>
                <c:pt idx="0">
                  <c:v>660000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5-4961-8F12-0CD37E507A26}"/>
            </c:ext>
          </c:extLst>
        </c:ser>
        <c:ser>
          <c:idx val="1"/>
          <c:order val="1"/>
          <c:tx>
            <c:strRef>
              <c:f>Sheet1!$A$24</c:f>
              <c:strCache>
                <c:ptCount val="1"/>
                <c:pt idx="0">
                  <c:v>Travelling &amp; Maintainance Fee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Sheet1!$D$22</c:f>
              <c:strCache>
                <c:ptCount val="1"/>
                <c:pt idx="0">
                  <c:v>Per Month Cost(Working Day-22 days)</c:v>
                </c:pt>
              </c:strCache>
            </c:strRef>
          </c:cat>
          <c:val>
            <c:numRef>
              <c:f>Sheet1!$D$24</c:f>
              <c:numCache>
                <c:formatCode>_-* #,##0_-;\-* #,##0_-;_-* "-"_-;_-@_-</c:formatCode>
                <c:ptCount val="1"/>
                <c:pt idx="0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25-4961-8F12-0CD37E507A26}"/>
            </c:ext>
          </c:extLst>
        </c:ser>
        <c:ser>
          <c:idx val="2"/>
          <c:order val="2"/>
          <c:tx>
            <c:strRef>
              <c:f>Sheet1!$A$25</c:f>
              <c:strCache>
                <c:ptCount val="1"/>
                <c:pt idx="0">
                  <c:v>Estimated Salary For DSE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Sheet1!$D$22</c:f>
              <c:strCache>
                <c:ptCount val="1"/>
                <c:pt idx="0">
                  <c:v>Per Month Cost(Working Day-22 days)</c:v>
                </c:pt>
              </c:strCache>
            </c:strRef>
          </c:cat>
          <c:val>
            <c:numRef>
              <c:f>Sheet1!$D$25</c:f>
              <c:numCache>
                <c:formatCode>_-* #,##0_-;\-* #,##0_-;_-* "-"_-;_-@_-</c:formatCode>
                <c:ptCount val="1"/>
                <c:pt idx="0">
                  <c:v>1200000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25-4961-8F12-0CD37E507A26}"/>
            </c:ext>
          </c:extLst>
        </c:ser>
        <c:ser>
          <c:idx val="3"/>
          <c:order val="3"/>
          <c:tx>
            <c:strRef>
              <c:f>Sheet1!$A$26</c:f>
              <c:strCache>
                <c:ptCount val="1"/>
                <c:pt idx="0">
                  <c:v>Estimated Salary For TSM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Sheet1!$D$22</c:f>
              <c:strCache>
                <c:ptCount val="1"/>
                <c:pt idx="0">
                  <c:v>Per Month Cost(Working Day-22 days)</c:v>
                </c:pt>
              </c:strCache>
            </c:strRef>
          </c:cat>
          <c:val>
            <c:numRef>
              <c:f>Sheet1!$D$26</c:f>
              <c:numCache>
                <c:formatCode>_-* #,##0_-;\-* #,##0_-;_-* "-"_-;_-@_-</c:formatCode>
                <c:ptCount val="1"/>
                <c:pt idx="0">
                  <c:v>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25-4961-8F12-0CD37E507A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39397504"/>
        <c:axId val="1039399168"/>
      </c:barChart>
      <c:barChart>
        <c:barDir val="col"/>
        <c:grouping val="clustered"/>
        <c:varyColors val="0"/>
        <c:ser>
          <c:idx val="4"/>
          <c:order val="4"/>
          <c:tx>
            <c:v>Total Cost(MMK)</c:v>
          </c:tx>
          <c:spPr>
            <a:solidFill>
              <a:srgbClr val="00B050">
                <a:alpha val="10000"/>
              </a:srgb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CBDDB11-96B0-4286-9434-A7CE9B5EB1A6}" type="SERIESNAME">
                      <a:rPr lang="en-US"/>
                      <a:pPr>
                        <a:defRPr/>
                      </a:pPr>
                      <a:t>[SERIES NAME]</a:t>
                    </a:fld>
                    <a:r>
                      <a:rPr lang="en-US" baseline="0"/>
                      <a:t>; </a:t>
                    </a:r>
                    <a:fld id="{49CEF0FE-F763-4AD0-A8CC-B248386600BF}" type="VALUE">
                      <a:rPr lang="en-US" baseline="0"/>
                      <a:pPr>
                        <a:defRPr/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1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45165016501650163"/>
                      <c:h val="8.8552269096314723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4625-4961-8F12-0CD37E507A2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Sheet1!$D$27</c:f>
              <c:numCache>
                <c:formatCode>_(* #,##0_);_(* \(#,##0\);_(* "-"??_);_(@_)</c:formatCode>
                <c:ptCount val="1"/>
                <c:pt idx="0">
                  <c:v>4160000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625-4961-8F12-0CD37E507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-27"/>
        <c:axId val="1417368080"/>
        <c:axId val="1417383472"/>
      </c:barChart>
      <c:catAx>
        <c:axId val="103939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399168"/>
        <c:crosses val="autoZero"/>
        <c:auto val="1"/>
        <c:lblAlgn val="ctr"/>
        <c:lblOffset val="100"/>
        <c:noMultiLvlLbl val="0"/>
      </c:catAx>
      <c:valAx>
        <c:axId val="1039399168"/>
        <c:scaling>
          <c:orientation val="minMax"/>
        </c:scaling>
        <c:delete val="1"/>
        <c:axPos val="l"/>
        <c:numFmt formatCode="_-* #,##0_-;\-* #,##0_-;_-* &quot;-&quot;_-;_-@_-" sourceLinked="1"/>
        <c:majorTickMark val="none"/>
        <c:minorTickMark val="none"/>
        <c:tickLblPos val="low"/>
        <c:crossAx val="1039397504"/>
        <c:crosses val="autoZero"/>
        <c:crossBetween val="between"/>
      </c:valAx>
      <c:valAx>
        <c:axId val="1417383472"/>
        <c:scaling>
          <c:orientation val="minMax"/>
        </c:scaling>
        <c:delete val="1"/>
        <c:axPos val="r"/>
        <c:numFmt formatCode="_(* #,##0_);_(* \(#,##0\);_(* &quot;-&quot;??_);_(@_)" sourceLinked="1"/>
        <c:majorTickMark val="out"/>
        <c:minorTickMark val="none"/>
        <c:tickLblPos val="nextTo"/>
        <c:crossAx val="1417368080"/>
        <c:crosses val="max"/>
        <c:crossBetween val="between"/>
      </c:valAx>
      <c:catAx>
        <c:axId val="1417368080"/>
        <c:scaling>
          <c:orientation val="minMax"/>
        </c:scaling>
        <c:delete val="1"/>
        <c:axPos val="b"/>
        <c:majorTickMark val="out"/>
        <c:minorTickMark val="none"/>
        <c:tickLblPos val="nextTo"/>
        <c:crossAx val="1417383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ayout>
        <c:manualLayout>
          <c:xMode val="edge"/>
          <c:yMode val="edge"/>
          <c:x val="0.75350822483823188"/>
          <c:y val="0.21446077392108143"/>
          <c:w val="0.23456355084327329"/>
          <c:h val="0.67810954977569349"/>
        </c:manualLayout>
      </c:layout>
      <c:overlay val="0"/>
      <c:spPr>
        <a:noFill/>
        <a:ln>
          <a:solidFill>
            <a:schemeClr val="bg2">
              <a:lumMod val="90000"/>
            </a:schemeClr>
          </a:solidFill>
          <a:prstDash val="sysDot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158751</xdr:colOff>
      <xdr:row>39</xdr:row>
      <xdr:rowOff>76993</xdr:rowOff>
    </xdr:from>
    <xdr:to>
      <xdr:col>5</xdr:col>
      <xdr:colOff>182563</xdr:colOff>
      <xdr:row>48</xdr:row>
      <xdr:rowOff>248443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0C8BA0-4204-DF1D-7A50-8318532E44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91</xdr:row>
      <xdr:rowOff>50800</xdr:rowOff>
    </xdr:from>
    <xdr:to>
      <xdr:col>6</xdr:col>
      <xdr:colOff>806450</xdr:colOff>
      <xdr:row>106</xdr:row>
      <xdr:rowOff>57150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66FCE92-6A8B-4920-AC6A-973684D3A2DA}"/>
            </a:ext>
          </a:extLst>
        </xdr:cNvPr>
        <xdr:cNvSpPr/>
      </xdr:nvSpPr>
      <xdr:spPr>
        <a:xfrm>
          <a:off x="7219950" y="17449800"/>
          <a:ext cx="9232900" cy="2768600"/>
        </a:xfrm>
        <a:prstGeom prst="rect">
          <a:avLst/>
        </a:prstGeom>
        <a:solidFill>
          <a:schemeClr val="bg1"/>
        </a:solidFill>
        <a:ln>
          <a:solidFill>
            <a:schemeClr val="bg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3</xdr:col>
      <xdr:colOff>1695450</xdr:colOff>
      <xdr:row>6</xdr:row>
      <xdr:rowOff>158750</xdr:rowOff>
    </xdr:from>
    <xdr:to>
      <xdr:col>5</xdr:col>
      <xdr:colOff>1365250</xdr:colOff>
      <xdr:row>20</xdr:row>
      <xdr:rowOff>81492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B9CBCE-9E86-4D0C-9DD5-56E863EDC7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1031875</xdr:colOff>
      <xdr:row>76</xdr:row>
      <xdr:rowOff>25400</xdr:rowOff>
    </xdr:from>
    <xdr:to>
      <xdr:col>3</xdr:col>
      <xdr:colOff>1581150</xdr:colOff>
      <xdr:row>88</xdr:row>
      <xdr:rowOff>88900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6B993D6-F0F2-4F9B-B29D-B4850EDD40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2765425</xdr:colOff>
      <xdr:row>93</xdr:row>
      <xdr:rowOff>107950</xdr:rowOff>
    </xdr:from>
    <xdr:to>
      <xdr:col>6</xdr:col>
      <xdr:colOff>787400</xdr:colOff>
      <xdr:row>106</xdr:row>
      <xdr:rowOff>38100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6182F463-B777-4140-9354-E8CA240997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498475</xdr:colOff>
      <xdr:row>93</xdr:row>
      <xdr:rowOff>158750</xdr:rowOff>
    </xdr:from>
    <xdr:to>
      <xdr:col>3</xdr:col>
      <xdr:colOff>2441575</xdr:colOff>
      <xdr:row>106</xdr:row>
      <xdr:rowOff>38100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3317246B-20C1-4EA7-9382-F98B41C535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2740025</xdr:colOff>
      <xdr:row>58</xdr:row>
      <xdr:rowOff>118476</xdr:rowOff>
    </xdr:from>
    <xdr:to>
      <xdr:col>3</xdr:col>
      <xdr:colOff>1892300</xdr:colOff>
      <xdr:row>72</xdr:row>
      <xdr:rowOff>85725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A72531BB-71CD-418B-BB95-8B8A8D8F5338}"/>
            </a:ext>
          </a:extLst>
        </xdr:cNvPr>
        <xdr:cNvGrpSpPr/>
      </xdr:nvGrpSpPr>
      <xdr:grpSpPr>
        <a:xfrm>
          <a:off x="2740025" y="11578956"/>
          <a:ext cx="8334375" cy="2573289"/>
          <a:chOff x="1387475" y="10496550"/>
          <a:chExt cx="8569325" cy="2594713"/>
        </a:xfrm>
      </xdr:grpSpPr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70A9EB00-0B58-4087-8E37-0811A2E35BAB}"/>
              </a:ext>
            </a:extLst>
          </xdr:cNvPr>
          <xdr:cNvGrpSpPr/>
        </xdr:nvGrpSpPr>
        <xdr:grpSpPr>
          <a:xfrm>
            <a:off x="1387475" y="10551263"/>
            <a:ext cx="8569325" cy="2540000"/>
            <a:chOff x="2740025" y="7630263"/>
            <a:chExt cx="8569325" cy="2540000"/>
          </a:xfrm>
        </xdr:grpSpPr>
        <xdr:sp macro="" textlink="">
          <xdr:nvSpPr>
            <xdr:cNvPr id="4" name="Rectangle 3">
              <a:extLst>
                <a:ext uri="{FF2B5EF4-FFF2-40B4-BE49-F238E27FC236}">
                  <a16:creationId xmlns:a16="http://schemas.microsoft.com/office/drawing/2014/main" id="{2904A094-3CEE-4686-B5D5-53D6521429A3}"/>
                </a:ext>
              </a:extLst>
            </xdr:cNvPr>
            <xdr:cNvSpPr/>
          </xdr:nvSpPr>
          <xdr:spPr>
            <a:xfrm>
              <a:off x="2762250" y="7630263"/>
              <a:ext cx="8547100" cy="254000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2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9166D1F1-EF45-4A5B-8F02-B4676917AAA0}"/>
                </a:ext>
              </a:extLst>
            </xdr:cNvPr>
            <xdr:cNvGraphicFramePr/>
          </xdr:nvGraphicFramePr>
          <xdr:xfrm>
            <a:off x="2740025" y="7886700"/>
            <a:ext cx="3933825" cy="21780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66B3164E-99B4-47F4-9DE9-62AA2AB3E594}"/>
                </a:ext>
              </a:extLst>
            </xdr:cNvPr>
            <xdr:cNvGraphicFramePr/>
          </xdr:nvGraphicFramePr>
          <xdr:xfrm>
            <a:off x="6762751" y="7905750"/>
            <a:ext cx="4445000" cy="21526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cxnSp macro="">
          <xdr:nvCxnSpPr>
            <xdr:cNvPr id="11" name="Straight Connector 10">
              <a:extLst>
                <a:ext uri="{FF2B5EF4-FFF2-40B4-BE49-F238E27FC236}">
                  <a16:creationId xmlns:a16="http://schemas.microsoft.com/office/drawing/2014/main" id="{81D6C683-3423-4BAD-8382-7C01BDB827FD}"/>
                </a:ext>
              </a:extLst>
            </xdr:cNvPr>
            <xdr:cNvCxnSpPr/>
          </xdr:nvCxnSpPr>
          <xdr:spPr>
            <a:xfrm>
              <a:off x="6762750" y="7931150"/>
              <a:ext cx="12700" cy="2133600"/>
            </a:xfrm>
            <a:prstGeom prst="line">
              <a:avLst/>
            </a:prstGeom>
            <a:ln w="12700">
              <a:solidFill>
                <a:srgbClr val="00206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78731665-D2BE-4AF4-ADB0-D563F52B415F}"/>
              </a:ext>
            </a:extLst>
          </xdr:cNvPr>
          <xdr:cNvSpPr txBox="1"/>
        </xdr:nvSpPr>
        <xdr:spPr>
          <a:xfrm>
            <a:off x="3124200" y="10496550"/>
            <a:ext cx="4565650" cy="279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>
                <a:latin typeface="Segoe UI" panose="020B0502040204020203" pitchFamily="34" charset="0"/>
                <a:cs typeface="Segoe UI" panose="020B0502040204020203" pitchFamily="34" charset="0"/>
              </a:rPr>
              <a:t>Merchandising Expenditure Distribution</a:t>
            </a:r>
          </a:p>
        </xdr:txBody>
      </xdr: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8AE304AD-199C-4D8A-B5CA-EE3D497973D6}"/>
              </a:ext>
            </a:extLst>
          </xdr:cNvPr>
          <xdr:cNvCxnSpPr/>
        </xdr:nvCxnSpPr>
        <xdr:spPr>
          <a:xfrm>
            <a:off x="3962400" y="10744200"/>
            <a:ext cx="2933700" cy="0"/>
          </a:xfrm>
          <a:prstGeom prst="line">
            <a:avLst/>
          </a:prstGeom>
          <a:ln w="95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174625</xdr:colOff>
      <xdr:row>20</xdr:row>
      <xdr:rowOff>88899</xdr:rowOff>
    </xdr:from>
    <xdr:to>
      <xdr:col>13</xdr:col>
      <xdr:colOff>257175</xdr:colOff>
      <xdr:row>33</xdr:row>
      <xdr:rowOff>28575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E0F33623-F541-4467-8A40-CDE0D6C0B623}"/>
            </a:ext>
          </a:extLst>
        </xdr:cNvPr>
        <xdr:cNvGrpSpPr/>
      </xdr:nvGrpSpPr>
      <xdr:grpSpPr>
        <a:xfrm>
          <a:off x="15521305" y="4066539"/>
          <a:ext cx="7245350" cy="2408556"/>
          <a:chOff x="14081125" y="3803649"/>
          <a:chExt cx="6969125" cy="2609849"/>
        </a:xfrm>
      </xdr:grpSpPr>
      <xdr:grpSp>
        <xdr:nvGrpSpPr>
          <xdr:cNvPr id="20" name="Group 19">
            <a:extLst>
              <a:ext uri="{FF2B5EF4-FFF2-40B4-BE49-F238E27FC236}">
                <a16:creationId xmlns:a16="http://schemas.microsoft.com/office/drawing/2014/main" id="{11508BA3-B49F-437C-AEC5-BE0EBF88DA7C}"/>
              </a:ext>
            </a:extLst>
          </xdr:cNvPr>
          <xdr:cNvGrpSpPr/>
        </xdr:nvGrpSpPr>
        <xdr:grpSpPr>
          <a:xfrm>
            <a:off x="14081125" y="3803649"/>
            <a:ext cx="6969125" cy="2609849"/>
            <a:chOff x="14081125" y="3803649"/>
            <a:chExt cx="6969125" cy="2609849"/>
          </a:xfrm>
        </xdr:grpSpPr>
        <xdr:grpSp>
          <xdr:nvGrpSpPr>
            <xdr:cNvPr id="10" name="Group 9">
              <a:extLst>
                <a:ext uri="{FF2B5EF4-FFF2-40B4-BE49-F238E27FC236}">
                  <a16:creationId xmlns:a16="http://schemas.microsoft.com/office/drawing/2014/main" id="{8D337D3C-53FC-403B-9486-A3B21580A1AE}"/>
                </a:ext>
              </a:extLst>
            </xdr:cNvPr>
            <xdr:cNvGrpSpPr/>
          </xdr:nvGrpSpPr>
          <xdr:grpSpPr>
            <a:xfrm>
              <a:off x="14081125" y="3803649"/>
              <a:ext cx="6969125" cy="2609849"/>
              <a:chOff x="12163425" y="4197349"/>
              <a:chExt cx="6969125" cy="2609849"/>
            </a:xfrm>
          </xdr:grpSpPr>
          <xdr:grpSp>
            <xdr:nvGrpSpPr>
              <xdr:cNvPr id="17" name="Group 16">
                <a:extLst>
                  <a:ext uri="{FF2B5EF4-FFF2-40B4-BE49-F238E27FC236}">
                    <a16:creationId xmlns:a16="http://schemas.microsoft.com/office/drawing/2014/main" id="{DC51822D-6582-47FA-9840-41AA95ABDD9A}"/>
                  </a:ext>
                </a:extLst>
              </xdr:cNvPr>
              <xdr:cNvGrpSpPr/>
            </xdr:nvGrpSpPr>
            <xdr:grpSpPr>
              <a:xfrm>
                <a:off x="12163425" y="4197349"/>
                <a:ext cx="6969125" cy="2609849"/>
                <a:chOff x="13312775" y="3509757"/>
                <a:chExt cx="6969125" cy="2978149"/>
              </a:xfrm>
            </xdr:grpSpPr>
            <xdr:sp macro="" textlink="">
              <xdr:nvSpPr>
                <xdr:cNvPr id="7" name="Rectangle 6">
                  <a:extLst>
                    <a:ext uri="{FF2B5EF4-FFF2-40B4-BE49-F238E27FC236}">
                      <a16:creationId xmlns:a16="http://schemas.microsoft.com/office/drawing/2014/main" id="{5EC75E99-602F-440A-9067-286A94586417}"/>
                    </a:ext>
                  </a:extLst>
                </xdr:cNvPr>
                <xdr:cNvSpPr/>
              </xdr:nvSpPr>
              <xdr:spPr>
                <a:xfrm>
                  <a:off x="13322300" y="3509757"/>
                  <a:ext cx="6959600" cy="2978149"/>
                </a:xfrm>
                <a:prstGeom prst="rect">
                  <a:avLst/>
                </a:prstGeom>
                <a:solidFill>
                  <a:schemeClr val="bg1"/>
                </a:solidFill>
                <a:ln>
                  <a:solidFill>
                    <a:schemeClr val="bg2">
                      <a:lumMod val="50000"/>
                    </a:schemeClr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16" name="Group 15">
                  <a:extLst>
                    <a:ext uri="{FF2B5EF4-FFF2-40B4-BE49-F238E27FC236}">
                      <a16:creationId xmlns:a16="http://schemas.microsoft.com/office/drawing/2014/main" id="{FB658D23-5AF1-45BD-AD33-E992CB848D27}"/>
                    </a:ext>
                  </a:extLst>
                </xdr:cNvPr>
                <xdr:cNvGrpSpPr/>
              </xdr:nvGrpSpPr>
              <xdr:grpSpPr>
                <a:xfrm>
                  <a:off x="13312775" y="3917796"/>
                  <a:ext cx="6772275" cy="2568728"/>
                  <a:chOff x="13312775" y="3917796"/>
                  <a:chExt cx="6772275" cy="2568728"/>
                </a:xfrm>
              </xdr:grpSpPr>
              <xdr:graphicFrame macro="">
                <xdr:nvGraphicFramePr>
                  <xdr:cNvPr id="5" name="Chart 4">
                    <a:extLst>
                      <a:ext uri="{FF2B5EF4-FFF2-40B4-BE49-F238E27FC236}">
                        <a16:creationId xmlns:a16="http://schemas.microsoft.com/office/drawing/2014/main" id="{605C3748-D0BF-48CD-9555-05C610EB7A2B}"/>
                      </a:ext>
                    </a:extLst>
                  </xdr:cNvPr>
                  <xdr:cNvGraphicFramePr/>
                </xdr:nvGraphicFramePr>
                <xdr:xfrm>
                  <a:off x="13312775" y="3930650"/>
                  <a:ext cx="3228975" cy="255587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7"/>
                  </a:graphicData>
                </a:graphic>
              </xdr:graphicFrame>
              <xdr:graphicFrame macro="">
                <xdr:nvGraphicFramePr>
                  <xdr:cNvPr id="6" name="Chart 5">
                    <a:extLst>
                      <a:ext uri="{FF2B5EF4-FFF2-40B4-BE49-F238E27FC236}">
                        <a16:creationId xmlns:a16="http://schemas.microsoft.com/office/drawing/2014/main" id="{28B136AC-C1D2-4AB9-B803-0F4017D9B33A}"/>
                      </a:ext>
                    </a:extLst>
                  </xdr:cNvPr>
                  <xdr:cNvGraphicFramePr/>
                </xdr:nvGraphicFramePr>
                <xdr:xfrm>
                  <a:off x="16236950" y="3917796"/>
                  <a:ext cx="3848100" cy="228751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8"/>
                  </a:graphicData>
                </a:graphic>
              </xdr:graphicFrame>
            </xdr:grpSp>
            <xdr:cxnSp macro="">
              <xdr:nvCxnSpPr>
                <xdr:cNvPr id="9" name="Straight Connector 8">
                  <a:extLst>
                    <a:ext uri="{FF2B5EF4-FFF2-40B4-BE49-F238E27FC236}">
                      <a16:creationId xmlns:a16="http://schemas.microsoft.com/office/drawing/2014/main" id="{BCD5925D-0A84-4644-88A9-CAA792D04855}"/>
                    </a:ext>
                  </a:extLst>
                </xdr:cNvPr>
                <xdr:cNvCxnSpPr/>
              </xdr:nvCxnSpPr>
              <xdr:spPr>
                <a:xfrm flipH="1">
                  <a:off x="16522700" y="4016785"/>
                  <a:ext cx="6350" cy="1927665"/>
                </a:xfrm>
                <a:prstGeom prst="line">
                  <a:avLst/>
                </a:prstGeom>
                <a:ln w="12700">
                  <a:solidFill>
                    <a:srgbClr val="00206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15" name="TextBox 14">
                <a:extLst>
                  <a:ext uri="{FF2B5EF4-FFF2-40B4-BE49-F238E27FC236}">
                    <a16:creationId xmlns:a16="http://schemas.microsoft.com/office/drawing/2014/main" id="{F01325B3-96ED-44AC-82AF-58205E8FACE2}"/>
                  </a:ext>
                </a:extLst>
              </xdr:cNvPr>
              <xdr:cNvSpPr txBox="1"/>
            </xdr:nvSpPr>
            <xdr:spPr>
              <a:xfrm>
                <a:off x="13036550" y="4246753"/>
                <a:ext cx="5245100" cy="21294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200" b="0" u="none">
                    <a:latin typeface="Segoe UI" panose="020B0502040204020203" pitchFamily="34" charset="0"/>
                    <a:cs typeface="Segoe UI" panose="020B0502040204020203" pitchFamily="34" charset="0"/>
                  </a:rPr>
                  <a:t>General Expense For Agent Outlet</a:t>
                </a:r>
              </a:p>
            </xdr:txBody>
          </xdr:sp>
        </xdr:grp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7BDFA57-2093-41C2-B728-533FEEBB8386}"/>
                </a:ext>
              </a:extLst>
            </xdr:cNvPr>
            <xdr:cNvSpPr txBox="1"/>
          </xdr:nvSpPr>
          <xdr:spPr>
            <a:xfrm>
              <a:off x="14122400" y="6159500"/>
              <a:ext cx="3105150" cy="2349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50" i="1">
                  <a:solidFill>
                    <a:srgbClr val="FF00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Note</a:t>
              </a:r>
              <a:r>
                <a:rPr lang="en-US" sz="1050" i="1">
                  <a:latin typeface="Segoe UI" panose="020B0502040204020203" pitchFamily="34" charset="0"/>
                  <a:cs typeface="Segoe UI" panose="020B0502040204020203" pitchFamily="34" charset="0"/>
                </a:rPr>
                <a:t>: No. of DSE</a:t>
              </a:r>
              <a:r>
                <a:rPr lang="en-US" sz="1050" i="1" baseline="0">
                  <a:latin typeface="Segoe UI" panose="020B0502040204020203" pitchFamily="34" charset="0"/>
                  <a:cs typeface="Segoe UI" panose="020B0502040204020203" pitchFamily="34" charset="0"/>
                </a:rPr>
                <a:t> -</a:t>
              </a:r>
              <a:r>
                <a:rPr lang="en-US" sz="1050" i="1">
                  <a:latin typeface="Segoe UI" panose="020B0502040204020203" pitchFamily="34" charset="0"/>
                  <a:cs typeface="Segoe UI" panose="020B0502040204020203" pitchFamily="34" charset="0"/>
                </a:rPr>
                <a:t> 6 prs,</a:t>
              </a:r>
              <a:r>
                <a:rPr lang="en-US" sz="1050" i="1" baseline="0">
                  <a:latin typeface="Segoe UI" panose="020B0502040204020203" pitchFamily="34" charset="0"/>
                  <a:cs typeface="Segoe UI" panose="020B0502040204020203" pitchFamily="34" charset="0"/>
                </a:rPr>
                <a:t> No. of TSM- 2 prs</a:t>
              </a:r>
              <a:endParaRPr lang="en-US" sz="1050" i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94BF6B19-3BA7-4B27-A903-A7CDF17BD5F3}"/>
              </a:ext>
            </a:extLst>
          </xdr:cNvPr>
          <xdr:cNvCxnSpPr/>
        </xdr:nvCxnSpPr>
        <xdr:spPr>
          <a:xfrm>
            <a:off x="16338550" y="4057650"/>
            <a:ext cx="2559050" cy="0"/>
          </a:xfrm>
          <a:prstGeom prst="line">
            <a:avLst/>
          </a:prstGeom>
          <a:ln w="95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0.7982</cdr:y>
    </cdr:from>
    <cdr:to>
      <cdr:x>0.71739</cdr:x>
      <cdr:y>0.99544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7B4E8E3-87CD-46BA-BF27-08567AD01C1D}"/>
            </a:ext>
          </a:extLst>
        </cdr:cNvPr>
        <cdr:cNvSpPr txBox="1"/>
      </cdr:nvSpPr>
      <cdr:spPr>
        <a:xfrm xmlns:a="http://schemas.openxmlformats.org/drawingml/2006/main">
          <a:off x="0" y="2082338"/>
          <a:ext cx="2933700" cy="5145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 i="1">
              <a:solidFill>
                <a:srgbClr val="FF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Note:</a:t>
          </a:r>
        </a:p>
        <a:p xmlns:a="http://schemas.openxmlformats.org/drawingml/2006/main">
          <a:r>
            <a:rPr lang="en-US" sz="1000" i="1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No. of DSE -</a:t>
          </a:r>
          <a:r>
            <a:rPr lang="en-US" sz="1000" i="1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en-US" sz="1000" i="1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6</a:t>
          </a:r>
          <a:r>
            <a:rPr lang="en-US" sz="1000" i="1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prs, </a:t>
          </a:r>
          <a:r>
            <a:rPr lang="en-US" sz="1000" i="1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Visited Outlet</a:t>
          </a:r>
          <a:r>
            <a:rPr lang="en-US" sz="1000" i="1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per Day - 25 </a:t>
          </a:r>
          <a:endParaRPr lang="en-US" sz="1000" i="1">
            <a:solidFill>
              <a:schemeClr val="tx1">
                <a:lumMod val="65000"/>
                <a:lumOff val="3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76FB-AABF-4740-890A-3C58D974F3F7}">
  <dimension ref="A1:M117"/>
  <sheetViews>
    <sheetView topLeftCell="B1" zoomScale="120" zoomScaleNormal="120" workbookViewId="0">
      <selection activeCell="G5" sqref="G5"/>
    </sheetView>
  </sheetViews>
  <sheetFormatPr defaultColWidth="8.88671875" defaultRowHeight="15.6" x14ac:dyDescent="0.3"/>
  <cols>
    <col min="1" max="2" width="8.88671875" style="1"/>
    <col min="3" max="3" width="6.88671875" style="1" customWidth="1"/>
    <col min="4" max="4" width="39" style="1" customWidth="1"/>
    <col min="5" max="5" width="29.109375" style="1" customWidth="1"/>
    <col min="6" max="6" width="18.109375" style="1" customWidth="1"/>
    <col min="7" max="7" width="22.109375" style="1" customWidth="1"/>
    <col min="8" max="8" width="15.5546875" style="1" customWidth="1"/>
    <col min="9" max="10" width="21.5546875" style="1" customWidth="1"/>
    <col min="11" max="11" width="27.5546875" style="1" customWidth="1"/>
    <col min="12" max="12" width="29.5546875" style="1" customWidth="1"/>
    <col min="13" max="13" width="29.6640625" style="1" customWidth="1"/>
    <col min="14" max="14" width="32.44140625" style="1" customWidth="1"/>
    <col min="15" max="16384" width="8.88671875" style="1"/>
  </cols>
  <sheetData>
    <row r="1" spans="1:13" ht="23.1" customHeight="1" x14ac:dyDescent="0.3">
      <c r="A1" s="1" t="s">
        <v>0</v>
      </c>
      <c r="B1" s="3" t="s">
        <v>1</v>
      </c>
    </row>
    <row r="2" spans="1:13" ht="15" customHeight="1" x14ac:dyDescent="0.3"/>
    <row r="3" spans="1:13" ht="15.6" customHeight="1" x14ac:dyDescent="0.3">
      <c r="D3" s="1" t="s">
        <v>4</v>
      </c>
    </row>
    <row r="4" spans="1:13" ht="23.1" customHeight="1" x14ac:dyDescent="0.3">
      <c r="C4" s="4" t="s">
        <v>2</v>
      </c>
      <c r="D4" s="4" t="s">
        <v>3</v>
      </c>
      <c r="E4" s="4" t="s">
        <v>11</v>
      </c>
    </row>
    <row r="5" spans="1:13" ht="23.1" customHeight="1" x14ac:dyDescent="0.3">
      <c r="C5" s="5">
        <v>1</v>
      </c>
      <c r="D5" s="6" t="s">
        <v>5</v>
      </c>
      <c r="E5" s="5">
        <v>22</v>
      </c>
    </row>
    <row r="6" spans="1:13" ht="23.1" customHeight="1" x14ac:dyDescent="0.3">
      <c r="C6" s="5">
        <v>2</v>
      </c>
      <c r="D6" s="7" t="s">
        <v>6</v>
      </c>
      <c r="E6" s="5">
        <v>6</v>
      </c>
    </row>
    <row r="7" spans="1:13" ht="23.1" customHeight="1" x14ac:dyDescent="0.3">
      <c r="C7" s="5">
        <v>3</v>
      </c>
      <c r="D7" s="6" t="s">
        <v>52</v>
      </c>
      <c r="E7" s="5">
        <v>25</v>
      </c>
    </row>
    <row r="8" spans="1:13" ht="23.1" customHeight="1" x14ac:dyDescent="0.3">
      <c r="C8" s="5">
        <v>5</v>
      </c>
      <c r="D8" s="6" t="s">
        <v>8</v>
      </c>
      <c r="E8" s="5">
        <v>7</v>
      </c>
    </row>
    <row r="9" spans="1:13" ht="23.1" customHeight="1" x14ac:dyDescent="0.3">
      <c r="C9" s="5">
        <v>6</v>
      </c>
      <c r="D9" s="6" t="s">
        <v>9</v>
      </c>
      <c r="E9" s="5">
        <f>(E5*E6)*E8</f>
        <v>924</v>
      </c>
    </row>
    <row r="10" spans="1:13" ht="23.1" customHeight="1" x14ac:dyDescent="0.3">
      <c r="C10" s="5">
        <v>4</v>
      </c>
      <c r="D10" s="6" t="s">
        <v>7</v>
      </c>
      <c r="E10" s="5">
        <f>(E5*E7)*E6</f>
        <v>3300</v>
      </c>
      <c r="F10" s="8"/>
    </row>
    <row r="11" spans="1:13" ht="14.4" customHeight="1" x14ac:dyDescent="0.3"/>
    <row r="12" spans="1:13" ht="21.6" customHeight="1" x14ac:dyDescent="0.3">
      <c r="C12" s="9" t="s">
        <v>10</v>
      </c>
    </row>
    <row r="13" spans="1:13" ht="27" customHeight="1" x14ac:dyDescent="0.3">
      <c r="C13" s="4" t="s">
        <v>2</v>
      </c>
      <c r="D13" s="4" t="s">
        <v>3</v>
      </c>
      <c r="E13" s="4" t="s">
        <v>11</v>
      </c>
      <c r="F13" s="4" t="s">
        <v>12</v>
      </c>
      <c r="G13" s="10" t="s">
        <v>13</v>
      </c>
    </row>
    <row r="14" spans="1:13" ht="23.1" customHeight="1" x14ac:dyDescent="0.3">
      <c r="C14" s="5">
        <v>1</v>
      </c>
      <c r="D14" s="7" t="s">
        <v>14</v>
      </c>
      <c r="E14" s="5">
        <v>6</v>
      </c>
      <c r="F14" s="11"/>
      <c r="G14" s="11" t="s">
        <v>15</v>
      </c>
    </row>
    <row r="15" spans="1:13" ht="23.1" customHeight="1" x14ac:dyDescent="0.3">
      <c r="C15" s="5">
        <v>2</v>
      </c>
      <c r="D15" s="7" t="s">
        <v>16</v>
      </c>
      <c r="E15" s="5">
        <v>6</v>
      </c>
      <c r="F15" s="11">
        <f>5000</f>
        <v>5000</v>
      </c>
      <c r="G15" s="12">
        <f>F15*E15*26</f>
        <v>780000</v>
      </c>
      <c r="M15" s="13"/>
    </row>
    <row r="16" spans="1:13" ht="23.1" customHeight="1" x14ac:dyDescent="0.3">
      <c r="C16" s="5">
        <v>3</v>
      </c>
      <c r="D16" s="7" t="s">
        <v>17</v>
      </c>
      <c r="E16" s="5">
        <v>6</v>
      </c>
      <c r="F16" s="11">
        <f>200000</f>
        <v>200000</v>
      </c>
      <c r="G16" s="11">
        <f t="shared" ref="G16:G18" si="0">F16*E16</f>
        <v>1200000</v>
      </c>
    </row>
    <row r="17" spans="3:13" ht="23.1" customHeight="1" x14ac:dyDescent="0.3">
      <c r="C17" s="5">
        <v>4</v>
      </c>
      <c r="D17" s="7" t="s">
        <v>18</v>
      </c>
      <c r="E17" s="5">
        <v>6</v>
      </c>
      <c r="F17" s="11">
        <v>50000</v>
      </c>
      <c r="G17" s="12">
        <f>F17*E17</f>
        <v>300000</v>
      </c>
    </row>
    <row r="18" spans="3:13" ht="24" customHeight="1" x14ac:dyDescent="0.3">
      <c r="C18" s="5">
        <v>5</v>
      </c>
      <c r="D18" s="7" t="s">
        <v>19</v>
      </c>
      <c r="E18" s="5">
        <v>2</v>
      </c>
      <c r="F18" s="11">
        <f>1000000</f>
        <v>1000000</v>
      </c>
      <c r="G18" s="11">
        <f t="shared" si="0"/>
        <v>2000000</v>
      </c>
      <c r="M18" s="14"/>
    </row>
    <row r="19" spans="3:13" ht="24" customHeight="1" x14ac:dyDescent="0.3">
      <c r="C19" s="5">
        <v>6</v>
      </c>
      <c r="D19" s="7" t="s">
        <v>20</v>
      </c>
      <c r="E19" s="15"/>
      <c r="F19" s="11"/>
      <c r="G19" s="11"/>
    </row>
    <row r="20" spans="3:13" s="18" customFormat="1" ht="23.1" customHeight="1" x14ac:dyDescent="0.3">
      <c r="C20" s="64" t="s">
        <v>21</v>
      </c>
      <c r="D20" s="65"/>
      <c r="E20" s="66"/>
      <c r="F20" s="16">
        <f>SUM(F14:F19)</f>
        <v>1255000</v>
      </c>
      <c r="G20" s="16">
        <f>SUM(G15:G19)</f>
        <v>4280000</v>
      </c>
    </row>
    <row r="21" spans="3:13" ht="15" customHeight="1" x14ac:dyDescent="0.3"/>
    <row r="22" spans="3:13" ht="15" customHeight="1" x14ac:dyDescent="0.3"/>
    <row r="23" spans="3:13" ht="26.1" customHeight="1" x14ac:dyDescent="0.3">
      <c r="C23" s="5">
        <v>1</v>
      </c>
      <c r="D23" s="67" t="s">
        <v>22</v>
      </c>
      <c r="E23" s="67"/>
      <c r="F23" s="19">
        <v>22172</v>
      </c>
    </row>
    <row r="24" spans="3:13" ht="26.1" customHeight="1" x14ac:dyDescent="0.3">
      <c r="C24" s="5">
        <v>2</v>
      </c>
      <c r="D24" s="68" t="s">
        <v>23</v>
      </c>
      <c r="E24" s="69"/>
      <c r="F24" s="19">
        <v>110000</v>
      </c>
    </row>
    <row r="25" spans="3:13" ht="23.1" customHeight="1" x14ac:dyDescent="0.3">
      <c r="C25" s="20">
        <v>3</v>
      </c>
      <c r="D25" s="70" t="s">
        <v>24</v>
      </c>
      <c r="E25" s="70"/>
      <c r="F25" s="21">
        <f>F24*F23</f>
        <v>2438920000</v>
      </c>
      <c r="H25" s="22" t="s">
        <v>25</v>
      </c>
    </row>
    <row r="26" spans="3:13" ht="23.1" hidden="1" customHeight="1" x14ac:dyDescent="0.3">
      <c r="C26" s="5">
        <v>4</v>
      </c>
      <c r="D26" s="70" t="s">
        <v>26</v>
      </c>
      <c r="E26" s="70"/>
      <c r="F26" s="21">
        <v>115</v>
      </c>
      <c r="G26" s="52">
        <f>F25/F26</f>
        <v>21208000</v>
      </c>
      <c r="H26" s="23"/>
    </row>
    <row r="27" spans="3:13" ht="33" customHeight="1" x14ac:dyDescent="0.3">
      <c r="C27" s="5">
        <v>5</v>
      </c>
      <c r="D27" s="71" t="s">
        <v>27</v>
      </c>
      <c r="E27" s="72"/>
      <c r="F27" s="21">
        <v>3000000</v>
      </c>
      <c r="H27" s="23"/>
    </row>
    <row r="28" spans="3:13" ht="23.1" customHeight="1" x14ac:dyDescent="0.3">
      <c r="C28" s="20">
        <v>6</v>
      </c>
      <c r="D28" s="70" t="s">
        <v>28</v>
      </c>
      <c r="E28" s="70"/>
      <c r="F28" s="21">
        <f>F25/F27</f>
        <v>812.97333333333336</v>
      </c>
      <c r="H28" s="23"/>
    </row>
    <row r="29" spans="3:13" ht="23.1" customHeight="1" x14ac:dyDescent="0.3">
      <c r="C29" s="5">
        <v>7</v>
      </c>
      <c r="D29" s="24" t="s">
        <v>29</v>
      </c>
      <c r="E29" s="25"/>
      <c r="F29" s="26">
        <f>E9</f>
        <v>924</v>
      </c>
      <c r="G29" s="27"/>
      <c r="H29" s="23"/>
    </row>
    <row r="30" spans="3:13" ht="23.1" customHeight="1" x14ac:dyDescent="0.3">
      <c r="C30" s="5">
        <v>8</v>
      </c>
      <c r="D30" s="24" t="s">
        <v>30</v>
      </c>
      <c r="E30" s="25"/>
      <c r="F30" s="21">
        <f>F27*F29</f>
        <v>2772000000</v>
      </c>
      <c r="G30" s="27"/>
      <c r="H30" s="23"/>
    </row>
    <row r="31" spans="3:13" ht="23.1" customHeight="1" x14ac:dyDescent="0.3">
      <c r="C31" s="20">
        <v>9</v>
      </c>
      <c r="D31" s="73" t="s">
        <v>31</v>
      </c>
      <c r="E31" s="74"/>
      <c r="F31" s="21">
        <f>F30-F25</f>
        <v>333080000</v>
      </c>
      <c r="G31" s="27"/>
      <c r="H31" s="23"/>
    </row>
    <row r="32" spans="3:13" ht="23.1" customHeight="1" x14ac:dyDescent="0.3">
      <c r="C32" s="5">
        <v>10</v>
      </c>
      <c r="D32" s="73" t="s">
        <v>32</v>
      </c>
      <c r="E32" s="74"/>
      <c r="F32" s="28">
        <f>F31/F25</f>
        <v>0.1365686451380119</v>
      </c>
      <c r="G32" s="27"/>
      <c r="H32" s="23"/>
    </row>
    <row r="33" spans="3:8" ht="23.1" customHeight="1" x14ac:dyDescent="0.3">
      <c r="C33" s="5">
        <v>11</v>
      </c>
      <c r="D33" s="24" t="s">
        <v>33</v>
      </c>
      <c r="E33" s="25"/>
      <c r="F33" s="21">
        <f>110000*0.44%</f>
        <v>484.00000000000006</v>
      </c>
      <c r="G33" s="27"/>
      <c r="H33" s="23"/>
    </row>
    <row r="34" spans="3:8" ht="23.1" customHeight="1" x14ac:dyDescent="0.3">
      <c r="C34" s="20">
        <v>12</v>
      </c>
      <c r="D34" s="73" t="s">
        <v>34</v>
      </c>
      <c r="E34" s="74"/>
      <c r="F34" s="21">
        <f>F33*F23</f>
        <v>10731248.000000002</v>
      </c>
      <c r="G34" s="8"/>
      <c r="H34" s="2"/>
    </row>
    <row r="35" spans="3:8" ht="23.1" customHeight="1" x14ac:dyDescent="0.3">
      <c r="C35" s="20"/>
      <c r="D35" s="24"/>
      <c r="E35" s="25"/>
      <c r="F35" s="21"/>
      <c r="G35" s="8"/>
      <c r="H35" s="2"/>
    </row>
    <row r="36" spans="3:8" ht="23.1" customHeight="1" x14ac:dyDescent="0.3">
      <c r="G36" s="8"/>
      <c r="H36" s="2"/>
    </row>
    <row r="37" spans="3:8" ht="23.1" customHeight="1" x14ac:dyDescent="0.3"/>
    <row r="38" spans="3:8" ht="15" customHeight="1" x14ac:dyDescent="0.3">
      <c r="D38" s="29"/>
      <c r="E38" s="29"/>
    </row>
    <row r="39" spans="3:8" ht="23.1" customHeight="1" x14ac:dyDescent="0.3">
      <c r="C39" s="4" t="s">
        <v>2</v>
      </c>
      <c r="D39" s="4" t="s">
        <v>35</v>
      </c>
      <c r="E39" s="4" t="s">
        <v>11</v>
      </c>
      <c r="F39" s="4" t="s">
        <v>36</v>
      </c>
      <c r="G39" s="4" t="s">
        <v>89</v>
      </c>
    </row>
    <row r="40" spans="3:8" ht="23.1" customHeight="1" x14ac:dyDescent="0.3">
      <c r="C40" s="5">
        <v>1</v>
      </c>
      <c r="D40" s="7" t="s">
        <v>37</v>
      </c>
      <c r="E40" s="5">
        <v>100</v>
      </c>
      <c r="F40" s="19">
        <v>11700</v>
      </c>
      <c r="G40" s="30">
        <f>E40*F40</f>
        <v>1170000</v>
      </c>
      <c r="H40" s="31"/>
    </row>
    <row r="41" spans="3:8" ht="23.1" customHeight="1" x14ac:dyDescent="0.3">
      <c r="C41" s="5">
        <v>2</v>
      </c>
      <c r="D41" s="7" t="s">
        <v>38</v>
      </c>
      <c r="E41" s="5">
        <v>380</v>
      </c>
      <c r="F41" s="19">
        <v>5200</v>
      </c>
      <c r="G41" s="30">
        <f t="shared" ref="G41:G44" si="1">E41*F41</f>
        <v>1976000</v>
      </c>
      <c r="H41" s="31"/>
    </row>
    <row r="42" spans="3:8" ht="23.1" customHeight="1" x14ac:dyDescent="0.3">
      <c r="C42" s="5">
        <v>3</v>
      </c>
      <c r="D42" s="7" t="s">
        <v>39</v>
      </c>
      <c r="E42" s="5">
        <v>1000</v>
      </c>
      <c r="F42" s="19">
        <v>950</v>
      </c>
      <c r="G42" s="30">
        <f t="shared" si="1"/>
        <v>950000</v>
      </c>
    </row>
    <row r="43" spans="3:8" ht="23.1" customHeight="1" x14ac:dyDescent="0.3">
      <c r="C43" s="5">
        <v>4</v>
      </c>
      <c r="D43" s="7" t="s">
        <v>40</v>
      </c>
      <c r="E43" s="5">
        <v>200</v>
      </c>
      <c r="F43" s="19">
        <v>3000</v>
      </c>
      <c r="G43" s="30">
        <f t="shared" si="1"/>
        <v>600000</v>
      </c>
    </row>
    <row r="44" spans="3:8" ht="23.1" customHeight="1" x14ac:dyDescent="0.3">
      <c r="C44" s="5">
        <v>5</v>
      </c>
      <c r="D44" s="7" t="s">
        <v>41</v>
      </c>
      <c r="E44" s="5">
        <v>120</v>
      </c>
      <c r="F44" s="19">
        <v>10000</v>
      </c>
      <c r="G44" s="30">
        <f t="shared" si="1"/>
        <v>1200000</v>
      </c>
    </row>
    <row r="45" spans="3:8" s="18" customFormat="1" ht="23.1" customHeight="1" x14ac:dyDescent="0.3">
      <c r="C45" s="63" t="s">
        <v>21</v>
      </c>
      <c r="D45" s="63"/>
      <c r="E45" s="32">
        <f>SUM(E40:E44)</f>
        <v>1800</v>
      </c>
      <c r="F45" s="17"/>
      <c r="G45" s="33">
        <f>SUM(G40:G44)</f>
        <v>5896000</v>
      </c>
    </row>
    <row r="46" spans="3:8" ht="23.1" customHeight="1" x14ac:dyDescent="0.3">
      <c r="C46" s="34"/>
      <c r="D46" s="34"/>
      <c r="E46" s="34"/>
      <c r="G46" s="35"/>
    </row>
    <row r="47" spans="3:8" ht="23.1" customHeight="1" x14ac:dyDescent="0.3">
      <c r="C47" s="34"/>
    </row>
    <row r="48" spans="3:8" ht="23.1" customHeight="1" x14ac:dyDescent="0.3">
      <c r="C48" s="77" t="s">
        <v>42</v>
      </c>
      <c r="D48" s="78"/>
      <c r="E48" s="79"/>
      <c r="F48" s="36"/>
    </row>
    <row r="49" spans="3:7" ht="23.1" customHeight="1" x14ac:dyDescent="0.3">
      <c r="C49" s="5">
        <v>1</v>
      </c>
      <c r="D49" s="73" t="s">
        <v>43</v>
      </c>
      <c r="E49" s="74"/>
      <c r="F49" s="37">
        <f>G20</f>
        <v>4280000</v>
      </c>
      <c r="G49" s="8">
        <f>F49/F52</f>
        <v>0.42059748427672955</v>
      </c>
    </row>
    <row r="50" spans="3:7" ht="23.1" customHeight="1" x14ac:dyDescent="0.3">
      <c r="C50" s="5">
        <v>2</v>
      </c>
      <c r="D50" s="73" t="s">
        <v>44</v>
      </c>
      <c r="E50" s="74"/>
      <c r="F50" s="37">
        <f>G45</f>
        <v>5896000</v>
      </c>
    </row>
    <row r="51" spans="3:7" ht="23.1" customHeight="1" x14ac:dyDescent="0.3">
      <c r="C51" s="5"/>
      <c r="D51" s="80"/>
      <c r="E51" s="81"/>
      <c r="F51" s="37"/>
    </row>
    <row r="52" spans="3:7" ht="23.1" customHeight="1" x14ac:dyDescent="0.3">
      <c r="C52" s="5"/>
      <c r="D52" s="24"/>
      <c r="E52" s="38" t="s">
        <v>45</v>
      </c>
      <c r="F52" s="39">
        <f>SUM(F49:F50)</f>
        <v>10176000</v>
      </c>
    </row>
    <row r="53" spans="3:7" ht="23.1" customHeight="1" x14ac:dyDescent="0.3">
      <c r="C53" s="80"/>
      <c r="D53" s="82"/>
      <c r="E53" s="81"/>
      <c r="F53" s="37"/>
    </row>
    <row r="54" spans="3:7" ht="23.1" customHeight="1" x14ac:dyDescent="0.3">
      <c r="C54" s="83" t="s">
        <v>46</v>
      </c>
      <c r="D54" s="84"/>
      <c r="E54" s="85"/>
      <c r="F54" s="40"/>
    </row>
    <row r="55" spans="3:7" ht="23.1" customHeight="1" x14ac:dyDescent="0.3">
      <c r="C55" s="24"/>
      <c r="D55" s="41" t="s">
        <v>47</v>
      </c>
      <c r="E55" s="25"/>
      <c r="F55" s="37"/>
    </row>
    <row r="56" spans="3:7" ht="23.1" customHeight="1" x14ac:dyDescent="0.3">
      <c r="C56" s="5">
        <v>1</v>
      </c>
      <c r="D56" s="73" t="s">
        <v>48</v>
      </c>
      <c r="E56" s="74"/>
      <c r="F56" s="21">
        <f>F34</f>
        <v>10731248.000000002</v>
      </c>
    </row>
    <row r="57" spans="3:7" ht="23.1" customHeight="1" x14ac:dyDescent="0.3">
      <c r="C57" s="5"/>
      <c r="D57" s="24"/>
      <c r="E57" s="25"/>
      <c r="F57" s="21"/>
    </row>
    <row r="58" spans="3:7" ht="23.1" customHeight="1" x14ac:dyDescent="0.3">
      <c r="C58" s="5">
        <v>1</v>
      </c>
      <c r="D58" s="73" t="s">
        <v>43</v>
      </c>
      <c r="E58" s="74"/>
      <c r="F58" s="37">
        <f>G20</f>
        <v>4280000</v>
      </c>
    </row>
    <row r="59" spans="3:7" ht="23.1" customHeight="1" x14ac:dyDescent="0.3">
      <c r="C59" s="5">
        <v>2</v>
      </c>
      <c r="D59" s="73" t="s">
        <v>49</v>
      </c>
      <c r="E59" s="74"/>
      <c r="F59" s="37">
        <v>2261667</v>
      </c>
    </row>
    <row r="60" spans="3:7" ht="23.1" customHeight="1" x14ac:dyDescent="0.3">
      <c r="C60" s="5"/>
      <c r="D60" s="80" t="s">
        <v>50</v>
      </c>
      <c r="E60" s="81"/>
      <c r="F60" s="42">
        <f>SUM(F58:F59)</f>
        <v>6541667</v>
      </c>
    </row>
    <row r="61" spans="3:7" ht="23.1" customHeight="1" x14ac:dyDescent="0.3">
      <c r="C61" s="5"/>
      <c r="D61" s="80"/>
      <c r="E61" s="81"/>
      <c r="F61" s="37"/>
    </row>
    <row r="62" spans="3:7" ht="23.1" customHeight="1" x14ac:dyDescent="0.3">
      <c r="C62" s="43"/>
      <c r="D62" s="75" t="s">
        <v>51</v>
      </c>
      <c r="E62" s="76"/>
      <c r="F62" s="44">
        <f>F60+F56</f>
        <v>17272915</v>
      </c>
    </row>
    <row r="63" spans="3:7" ht="23.1" customHeight="1" x14ac:dyDescent="0.3">
      <c r="E63" s="14"/>
    </row>
    <row r="64" spans="3:7" ht="23.1" customHeight="1" x14ac:dyDescent="0.3">
      <c r="E64" s="14"/>
    </row>
    <row r="65" spans="5:5" ht="23.1" customHeight="1" x14ac:dyDescent="0.3">
      <c r="E65" s="14"/>
    </row>
    <row r="66" spans="5:5" ht="23.1" customHeight="1" x14ac:dyDescent="0.3">
      <c r="E66" s="14"/>
    </row>
    <row r="67" spans="5:5" ht="23.1" customHeight="1" x14ac:dyDescent="0.3"/>
    <row r="68" spans="5:5" ht="23.1" customHeight="1" x14ac:dyDescent="0.3"/>
    <row r="69" spans="5:5" ht="23.1" customHeight="1" x14ac:dyDescent="0.3"/>
    <row r="70" spans="5:5" ht="23.1" customHeight="1" x14ac:dyDescent="0.3"/>
    <row r="71" spans="5:5" ht="23.1" customHeight="1" x14ac:dyDescent="0.3"/>
    <row r="72" spans="5:5" ht="23.1" customHeight="1" x14ac:dyDescent="0.3"/>
    <row r="73" spans="5:5" ht="23.1" customHeight="1" x14ac:dyDescent="0.3"/>
    <row r="74" spans="5:5" ht="23.1" customHeight="1" x14ac:dyDescent="0.3"/>
    <row r="75" spans="5:5" ht="23.1" customHeight="1" x14ac:dyDescent="0.3"/>
    <row r="76" spans="5:5" ht="23.1" customHeight="1" x14ac:dyDescent="0.3"/>
    <row r="77" spans="5:5" ht="23.1" customHeight="1" x14ac:dyDescent="0.3"/>
    <row r="78" spans="5:5" ht="23.1" customHeight="1" x14ac:dyDescent="0.3"/>
    <row r="79" spans="5:5" ht="23.1" customHeight="1" x14ac:dyDescent="0.3"/>
    <row r="80" spans="5:5" ht="23.1" customHeight="1" x14ac:dyDescent="0.3"/>
    <row r="81" spans="5:5" ht="23.1" customHeight="1" x14ac:dyDescent="0.3"/>
    <row r="82" spans="5:5" ht="23.1" customHeight="1" x14ac:dyDescent="0.3"/>
    <row r="83" spans="5:5" ht="23.1" customHeight="1" x14ac:dyDescent="0.3"/>
    <row r="84" spans="5:5" ht="23.1" customHeight="1" x14ac:dyDescent="0.3"/>
    <row r="85" spans="5:5" ht="23.1" customHeight="1" x14ac:dyDescent="0.3"/>
    <row r="86" spans="5:5" ht="23.1" customHeight="1" x14ac:dyDescent="0.3"/>
    <row r="87" spans="5:5" ht="23.1" customHeight="1" x14ac:dyDescent="0.3"/>
    <row r="88" spans="5:5" ht="23.1" customHeight="1" x14ac:dyDescent="0.3"/>
    <row r="89" spans="5:5" ht="23.1" customHeight="1" x14ac:dyDescent="0.3">
      <c r="E89" s="14"/>
    </row>
    <row r="90" spans="5:5" ht="23.1" customHeight="1" x14ac:dyDescent="0.3">
      <c r="E90" s="14"/>
    </row>
    <row r="91" spans="5:5" ht="23.1" customHeight="1" x14ac:dyDescent="0.3">
      <c r="E91" s="14"/>
    </row>
    <row r="92" spans="5:5" ht="23.1" customHeight="1" x14ac:dyDescent="0.3">
      <c r="E92" s="14"/>
    </row>
    <row r="93" spans="5:5" ht="23.1" customHeight="1" x14ac:dyDescent="0.3">
      <c r="E93" s="14"/>
    </row>
    <row r="94" spans="5:5" ht="23.1" customHeight="1" x14ac:dyDescent="0.3">
      <c r="E94" s="14"/>
    </row>
    <row r="95" spans="5:5" ht="23.1" customHeight="1" x14ac:dyDescent="0.3">
      <c r="E95" s="14"/>
    </row>
    <row r="96" spans="5:5" ht="23.1" customHeight="1" x14ac:dyDescent="0.3">
      <c r="E96" s="14"/>
    </row>
    <row r="97" spans="5:5" ht="23.1" customHeight="1" x14ac:dyDescent="0.3">
      <c r="E97" s="14"/>
    </row>
    <row r="98" spans="5:5" ht="23.1" customHeight="1" x14ac:dyDescent="0.3">
      <c r="E98" s="14"/>
    </row>
    <row r="99" spans="5:5" ht="23.1" customHeight="1" x14ac:dyDescent="0.3">
      <c r="E99" s="14"/>
    </row>
    <row r="100" spans="5:5" ht="23.1" customHeight="1" x14ac:dyDescent="0.3">
      <c r="E100" s="14"/>
    </row>
    <row r="101" spans="5:5" ht="23.1" customHeight="1" x14ac:dyDescent="0.3">
      <c r="E101" s="14"/>
    </row>
    <row r="102" spans="5:5" ht="23.1" customHeight="1" x14ac:dyDescent="0.3">
      <c r="E102" s="14"/>
    </row>
    <row r="103" spans="5:5" ht="23.1" customHeight="1" x14ac:dyDescent="0.3">
      <c r="E103" s="14"/>
    </row>
    <row r="104" spans="5:5" ht="23.1" customHeight="1" x14ac:dyDescent="0.3">
      <c r="E104" s="14"/>
    </row>
    <row r="105" spans="5:5" ht="23.1" customHeight="1" x14ac:dyDescent="0.3">
      <c r="E105" s="14"/>
    </row>
    <row r="106" spans="5:5" ht="23.1" customHeight="1" x14ac:dyDescent="0.3">
      <c r="E106" s="14"/>
    </row>
    <row r="107" spans="5:5" ht="23.1" customHeight="1" x14ac:dyDescent="0.3">
      <c r="E107" s="14"/>
    </row>
    <row r="108" spans="5:5" ht="23.1" customHeight="1" x14ac:dyDescent="0.3"/>
    <row r="109" spans="5:5" ht="23.1" customHeight="1" x14ac:dyDescent="0.3"/>
    <row r="110" spans="5:5" ht="23.1" customHeight="1" x14ac:dyDescent="0.3"/>
    <row r="111" spans="5:5" ht="23.1" customHeight="1" x14ac:dyDescent="0.3"/>
    <row r="112" spans="5:5" ht="23.1" customHeight="1" x14ac:dyDescent="0.3"/>
    <row r="113" ht="23.1" customHeight="1" x14ac:dyDescent="0.3"/>
    <row r="114" ht="23.1" customHeight="1" x14ac:dyDescent="0.3"/>
    <row r="115" ht="23.1" customHeight="1" x14ac:dyDescent="0.3"/>
    <row r="116" ht="23.1" customHeight="1" x14ac:dyDescent="0.3"/>
    <row r="117" ht="23.1" customHeight="1" x14ac:dyDescent="0.3"/>
  </sheetData>
  <mergeCells count="23">
    <mergeCell ref="D62:E62"/>
    <mergeCell ref="C48:E48"/>
    <mergeCell ref="D49:E49"/>
    <mergeCell ref="D50:E50"/>
    <mergeCell ref="D51:E51"/>
    <mergeCell ref="C53:E53"/>
    <mergeCell ref="C54:E54"/>
    <mergeCell ref="D56:E56"/>
    <mergeCell ref="D58:E58"/>
    <mergeCell ref="D59:E59"/>
    <mergeCell ref="D60:E60"/>
    <mergeCell ref="D61:E61"/>
    <mergeCell ref="C45:D45"/>
    <mergeCell ref="C20:E20"/>
    <mergeCell ref="D23:E23"/>
    <mergeCell ref="D24:E24"/>
    <mergeCell ref="D25:E25"/>
    <mergeCell ref="D26:E26"/>
    <mergeCell ref="D27:E27"/>
    <mergeCell ref="D28:E28"/>
    <mergeCell ref="D31:E31"/>
    <mergeCell ref="D32:E32"/>
    <mergeCell ref="D34:E3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0FF47-4E91-4FBB-B61E-D05889D986A5}">
  <dimension ref="A1:H97"/>
  <sheetViews>
    <sheetView tabSelected="1" topLeftCell="B88" workbookViewId="0">
      <selection activeCell="C49" sqref="C49"/>
    </sheetView>
  </sheetViews>
  <sheetFormatPr defaultRowHeight="14.4" x14ac:dyDescent="0.3"/>
  <cols>
    <col min="1" max="1" width="81.44140625" bestFit="1" customWidth="1"/>
    <col min="2" max="2" width="14.88671875" bestFit="1" customWidth="1"/>
    <col min="3" max="3" width="37.5546875" bestFit="1" customWidth="1"/>
    <col min="4" max="4" width="42.6640625" customWidth="1"/>
    <col min="5" max="5" width="23.5546875" bestFit="1" customWidth="1"/>
    <col min="6" max="6" width="23.6640625" bestFit="1" customWidth="1"/>
    <col min="7" max="7" width="29.88671875" bestFit="1" customWidth="1"/>
    <col min="8" max="8" width="30.109375" bestFit="1" customWidth="1"/>
  </cols>
  <sheetData>
    <row r="1" spans="1:8" ht="15.6" x14ac:dyDescent="0.3">
      <c r="A1" s="1"/>
      <c r="B1" s="87" t="s">
        <v>58</v>
      </c>
      <c r="C1" s="87"/>
      <c r="D1" s="87"/>
      <c r="E1" s="88" t="s">
        <v>59</v>
      </c>
      <c r="F1" s="88"/>
      <c r="G1" s="86" t="s">
        <v>60</v>
      </c>
      <c r="H1" s="86"/>
    </row>
    <row r="2" spans="1:8" ht="31.2" x14ac:dyDescent="0.3">
      <c r="A2" s="45" t="s">
        <v>55</v>
      </c>
      <c r="B2" s="7" t="s">
        <v>6</v>
      </c>
      <c r="C2" s="6" t="s">
        <v>65</v>
      </c>
      <c r="D2" s="6" t="s">
        <v>53</v>
      </c>
      <c r="E2" s="6" t="s">
        <v>57</v>
      </c>
      <c r="F2" s="6" t="s">
        <v>56</v>
      </c>
      <c r="G2" s="6" t="s">
        <v>54</v>
      </c>
      <c r="H2" s="6" t="s">
        <v>9</v>
      </c>
    </row>
    <row r="3" spans="1:8" ht="15.6" x14ac:dyDescent="0.3">
      <c r="A3" s="45" t="s">
        <v>11</v>
      </c>
      <c r="B3" s="5">
        <v>6</v>
      </c>
      <c r="C3" s="5">
        <v>25</v>
      </c>
      <c r="D3" s="5">
        <f>PRODUCT(B3,C3)</f>
        <v>150</v>
      </c>
      <c r="E3" s="5">
        <v>22</v>
      </c>
      <c r="F3" s="5">
        <f>PRODUCT(D3,E3)</f>
        <v>3300</v>
      </c>
      <c r="G3" s="5">
        <v>7</v>
      </c>
      <c r="H3" s="5">
        <f>(E3*B3)*G3</f>
        <v>924</v>
      </c>
    </row>
    <row r="4" spans="1:8" ht="15.6" x14ac:dyDescent="0.3">
      <c r="A4" s="1"/>
      <c r="B4" s="1"/>
      <c r="C4" s="1"/>
      <c r="D4" s="1"/>
      <c r="E4" s="1"/>
      <c r="F4" s="1"/>
      <c r="G4" s="1"/>
      <c r="H4" s="1"/>
    </row>
    <row r="5" spans="1:8" ht="15.6" x14ac:dyDescent="0.3">
      <c r="A5" s="1"/>
      <c r="B5" s="1"/>
      <c r="C5" s="46"/>
      <c r="D5" s="46" t="s">
        <v>6</v>
      </c>
      <c r="E5" s="46" t="s">
        <v>62</v>
      </c>
      <c r="F5" s="46" t="s">
        <v>63</v>
      </c>
      <c r="G5" s="46" t="s">
        <v>64</v>
      </c>
      <c r="H5" s="1"/>
    </row>
    <row r="6" spans="1:8" ht="15.6" x14ac:dyDescent="0.3">
      <c r="A6" s="1"/>
      <c r="B6" s="1"/>
      <c r="C6" s="46" t="s">
        <v>61</v>
      </c>
      <c r="D6" s="46">
        <v>6</v>
      </c>
      <c r="E6" s="46">
        <v>25</v>
      </c>
      <c r="F6" s="46">
        <f>PRODUCT(D6,E6)</f>
        <v>150</v>
      </c>
      <c r="G6" s="46">
        <f>7*D6</f>
        <v>42</v>
      </c>
      <c r="H6" s="1"/>
    </row>
    <row r="7" spans="1:8" ht="15.6" x14ac:dyDescent="0.3">
      <c r="A7" s="1"/>
      <c r="B7" s="1"/>
      <c r="C7" s="46" t="s">
        <v>75</v>
      </c>
      <c r="D7" s="46">
        <v>6</v>
      </c>
      <c r="E7" s="46">
        <f>25*22</f>
        <v>550</v>
      </c>
      <c r="F7" s="46">
        <f>PRODUCT(D7,E7)</f>
        <v>3300</v>
      </c>
      <c r="G7" s="46">
        <f>22*G6</f>
        <v>924</v>
      </c>
      <c r="H7" s="1"/>
    </row>
    <row r="8" spans="1:8" ht="15.6" x14ac:dyDescent="0.3">
      <c r="A8" s="1"/>
      <c r="B8" s="1"/>
      <c r="C8" s="1"/>
      <c r="D8" s="1"/>
      <c r="E8" s="1"/>
      <c r="F8" s="1"/>
      <c r="G8" s="1"/>
      <c r="H8" s="1"/>
    </row>
    <row r="21" spans="1:4" x14ac:dyDescent="0.3">
      <c r="C21" t="s">
        <v>69</v>
      </c>
      <c r="D21" t="s">
        <v>70</v>
      </c>
    </row>
    <row r="22" spans="1:4" ht="15.6" x14ac:dyDescent="0.3">
      <c r="A22" s="45" t="s">
        <v>67</v>
      </c>
      <c r="B22" s="45" t="s">
        <v>68</v>
      </c>
      <c r="C22" s="45" t="s">
        <v>69</v>
      </c>
      <c r="D22" s="49" t="s">
        <v>70</v>
      </c>
    </row>
    <row r="23" spans="1:4" ht="15.6" x14ac:dyDescent="0.3">
      <c r="A23" s="7" t="s">
        <v>72</v>
      </c>
      <c r="B23" s="5">
        <v>6</v>
      </c>
      <c r="C23" s="11">
        <f>5000</f>
        <v>5000</v>
      </c>
      <c r="D23" s="12">
        <f>PRODUCT($B23,$C23,22)</f>
        <v>660000</v>
      </c>
    </row>
    <row r="24" spans="1:4" ht="15.6" x14ac:dyDescent="0.3">
      <c r="A24" s="7" t="s">
        <v>71</v>
      </c>
      <c r="B24" s="5">
        <v>6</v>
      </c>
      <c r="C24" s="11">
        <v>50000</v>
      </c>
      <c r="D24" s="12">
        <v>300000</v>
      </c>
    </row>
    <row r="25" spans="1:4" ht="15.6" x14ac:dyDescent="0.3">
      <c r="A25" s="7" t="s">
        <v>73</v>
      </c>
      <c r="B25" s="5">
        <v>6</v>
      </c>
      <c r="C25" s="11">
        <f>200000</f>
        <v>200000</v>
      </c>
      <c r="D25" s="12">
        <f>PRODUCT($B25,$C25)</f>
        <v>1200000</v>
      </c>
    </row>
    <row r="26" spans="1:4" ht="15.6" x14ac:dyDescent="0.3">
      <c r="A26" s="7" t="s">
        <v>74</v>
      </c>
      <c r="B26" s="5">
        <v>2</v>
      </c>
      <c r="C26" s="11">
        <f>1000000</f>
        <v>1000000</v>
      </c>
      <c r="D26" s="12">
        <f>PRODUCT($B26,$C26)</f>
        <v>2000000</v>
      </c>
    </row>
    <row r="27" spans="1:4" ht="15.6" x14ac:dyDescent="0.3">
      <c r="A27" s="47" t="s">
        <v>66</v>
      </c>
      <c r="B27" s="48"/>
      <c r="C27" s="33">
        <f>SUM(C23:C26)</f>
        <v>1255000</v>
      </c>
      <c r="D27" s="33">
        <f>SUM(D23:D26)</f>
        <v>4160000</v>
      </c>
    </row>
    <row r="35" spans="1:2" x14ac:dyDescent="0.3">
      <c r="B35" t="s">
        <v>87</v>
      </c>
    </row>
    <row r="36" spans="1:2" x14ac:dyDescent="0.3">
      <c r="A36" s="55" t="s">
        <v>82</v>
      </c>
      <c r="B36" s="55">
        <v>22172</v>
      </c>
    </row>
    <row r="37" spans="1:2" x14ac:dyDescent="0.3">
      <c r="A37" s="55" t="s">
        <v>84</v>
      </c>
      <c r="B37" s="55">
        <v>110000</v>
      </c>
    </row>
    <row r="38" spans="1:2" x14ac:dyDescent="0.3">
      <c r="A38" s="55" t="s">
        <v>83</v>
      </c>
      <c r="B38" s="55">
        <v>2438920000</v>
      </c>
    </row>
    <row r="39" spans="1:2" x14ac:dyDescent="0.3">
      <c r="A39" s="53" t="s">
        <v>27</v>
      </c>
      <c r="B39" s="53">
        <v>3000000</v>
      </c>
    </row>
    <row r="40" spans="1:2" x14ac:dyDescent="0.3">
      <c r="A40" s="53" t="s">
        <v>28</v>
      </c>
      <c r="B40" s="57">
        <v>812.97333333333336</v>
      </c>
    </row>
    <row r="41" spans="1:2" x14ac:dyDescent="0.3">
      <c r="A41" s="53" t="s">
        <v>29</v>
      </c>
      <c r="B41" s="54">
        <v>924</v>
      </c>
    </row>
    <row r="42" spans="1:2" x14ac:dyDescent="0.3">
      <c r="A42" s="53" t="s">
        <v>86</v>
      </c>
      <c r="B42" s="53">
        <v>2772000000</v>
      </c>
    </row>
    <row r="43" spans="1:2" x14ac:dyDescent="0.3">
      <c r="A43" s="58" t="s">
        <v>31</v>
      </c>
      <c r="B43" s="58">
        <v>333080000</v>
      </c>
    </row>
    <row r="44" spans="1:2" x14ac:dyDescent="0.3">
      <c r="A44" s="58" t="s">
        <v>32</v>
      </c>
      <c r="B44" s="59">
        <v>0.1365686451380119</v>
      </c>
    </row>
    <row r="45" spans="1:2" x14ac:dyDescent="0.3">
      <c r="A45" t="s">
        <v>33</v>
      </c>
      <c r="B45">
        <v>484.00000000000006</v>
      </c>
    </row>
    <row r="46" spans="1:2" x14ac:dyDescent="0.3">
      <c r="A46" t="s">
        <v>85</v>
      </c>
      <c r="B46">
        <v>10731248.000000002</v>
      </c>
    </row>
    <row r="49" spans="1:4" ht="45.6" customHeight="1" x14ac:dyDescent="0.3">
      <c r="A49" t="s">
        <v>82</v>
      </c>
      <c r="B49" s="62" t="s">
        <v>88</v>
      </c>
    </row>
    <row r="56" spans="1:4" ht="15.6" x14ac:dyDescent="0.3">
      <c r="A56" s="45" t="s">
        <v>35</v>
      </c>
      <c r="B56" s="45" t="s">
        <v>76</v>
      </c>
      <c r="C56" s="45" t="s">
        <v>77</v>
      </c>
      <c r="D56" s="45" t="s">
        <v>78</v>
      </c>
    </row>
    <row r="57" spans="1:4" ht="15.6" x14ac:dyDescent="0.3">
      <c r="A57" s="7" t="s">
        <v>38</v>
      </c>
      <c r="B57" s="5">
        <v>380</v>
      </c>
      <c r="C57" s="19">
        <v>5200</v>
      </c>
      <c r="D57" s="30">
        <f>B57*C57</f>
        <v>1976000</v>
      </c>
    </row>
    <row r="58" spans="1:4" ht="15.6" x14ac:dyDescent="0.3">
      <c r="A58" s="7" t="s">
        <v>41</v>
      </c>
      <c r="B58" s="5">
        <v>120</v>
      </c>
      <c r="C58" s="19">
        <v>10000</v>
      </c>
      <c r="D58" s="30">
        <f>B58*C58</f>
        <v>1200000</v>
      </c>
    </row>
    <row r="59" spans="1:4" ht="15.6" x14ac:dyDescent="0.3">
      <c r="A59" s="7" t="s">
        <v>37</v>
      </c>
      <c r="B59" s="5">
        <v>100</v>
      </c>
      <c r="C59" s="19">
        <v>11700</v>
      </c>
      <c r="D59" s="30">
        <f>B59*C59</f>
        <v>1170000</v>
      </c>
    </row>
    <row r="60" spans="1:4" ht="15.6" x14ac:dyDescent="0.3">
      <c r="A60" s="7" t="s">
        <v>39</v>
      </c>
      <c r="B60" s="5">
        <v>1000</v>
      </c>
      <c r="C60" s="19">
        <v>950</v>
      </c>
      <c r="D60" s="30">
        <f>B60*C60</f>
        <v>950000</v>
      </c>
    </row>
    <row r="61" spans="1:4" ht="15.6" x14ac:dyDescent="0.3">
      <c r="A61" s="7" t="s">
        <v>40</v>
      </c>
      <c r="B61" s="5">
        <v>200</v>
      </c>
      <c r="C61" s="19">
        <v>3000</v>
      </c>
      <c r="D61" s="30">
        <f>B61*C61</f>
        <v>600000</v>
      </c>
    </row>
    <row r="62" spans="1:4" x14ac:dyDescent="0.3">
      <c r="D62" s="50">
        <f>SUM($D$57:$D$61)</f>
        <v>5896000</v>
      </c>
    </row>
    <row r="76" spans="1:2" x14ac:dyDescent="0.3">
      <c r="A76" t="s">
        <v>42</v>
      </c>
    </row>
    <row r="77" spans="1:2" x14ac:dyDescent="0.3">
      <c r="A77" t="s">
        <v>42</v>
      </c>
      <c r="B77" t="s">
        <v>79</v>
      </c>
    </row>
    <row r="78" spans="1:2" x14ac:dyDescent="0.3">
      <c r="A78" t="s">
        <v>80</v>
      </c>
      <c r="B78" s="51">
        <v>4280000</v>
      </c>
    </row>
    <row r="79" spans="1:2" x14ac:dyDescent="0.3">
      <c r="A79" t="s">
        <v>44</v>
      </c>
      <c r="B79" s="51">
        <v>5896000</v>
      </c>
    </row>
    <row r="80" spans="1:2" x14ac:dyDescent="0.3">
      <c r="A80" s="60" t="s">
        <v>45</v>
      </c>
      <c r="B80" s="61">
        <v>10176000</v>
      </c>
    </row>
    <row r="91" spans="1:2" x14ac:dyDescent="0.3">
      <c r="A91" t="s">
        <v>46</v>
      </c>
    </row>
    <row r="92" spans="1:2" x14ac:dyDescent="0.3">
      <c r="A92" t="s">
        <v>47</v>
      </c>
      <c r="B92" t="s">
        <v>79</v>
      </c>
    </row>
    <row r="93" spans="1:2" x14ac:dyDescent="0.3">
      <c r="A93" s="53" t="s">
        <v>43</v>
      </c>
      <c r="B93" s="54">
        <v>4280000</v>
      </c>
    </row>
    <row r="94" spans="1:2" x14ac:dyDescent="0.3">
      <c r="A94" s="53" t="s">
        <v>49</v>
      </c>
      <c r="B94" s="54">
        <v>2261667</v>
      </c>
    </row>
    <row r="95" spans="1:2" x14ac:dyDescent="0.3">
      <c r="A95" s="53" t="s">
        <v>50</v>
      </c>
      <c r="B95" s="54">
        <v>6541667</v>
      </c>
    </row>
    <row r="96" spans="1:2" x14ac:dyDescent="0.3">
      <c r="A96" s="55" t="s">
        <v>81</v>
      </c>
      <c r="B96" s="56">
        <v>10731248.000000002</v>
      </c>
    </row>
    <row r="97" spans="1:2" x14ac:dyDescent="0.3">
      <c r="A97" s="60" t="s">
        <v>51</v>
      </c>
      <c r="B97" s="61">
        <v>17272915</v>
      </c>
    </row>
  </sheetData>
  <mergeCells count="3">
    <mergeCell ref="G1:H1"/>
    <mergeCell ref="B1:D1"/>
    <mergeCell ref="E1:F1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Ko Ko Aung</cp:lastModifiedBy>
  <dcterms:created xsi:type="dcterms:W3CDTF">2025-03-04T07:09:37Z</dcterms:created>
  <dcterms:modified xsi:type="dcterms:W3CDTF">2025-11-13T02:30:28Z</dcterms:modified>
</cp:coreProperties>
</file>