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9\Data Analysis\payMe\kokoAung\project\pensionProject\report\pensionerWorkforceExpense\"/>
    </mc:Choice>
  </mc:AlternateContent>
  <xr:revisionPtr revIDLastSave="0" documentId="13_ncr:1_{AFFBDC16-54F9-4FA3-9839-99DCBD5EE5B7}" xr6:coauthVersionLast="47" xr6:coauthVersionMax="47" xr10:uidLastSave="{00000000-0000-0000-0000-000000000000}"/>
  <bookViews>
    <workbookView xWindow="-108" yWindow="-108" windowWidth="23256" windowHeight="12456" xr2:uid="{7FDD12A3-B83A-414F-BA4C-10CEDF6EC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E36" i="1"/>
  <c r="F36" i="1"/>
  <c r="C36" i="1"/>
  <c r="D23" i="1"/>
  <c r="E23" i="1"/>
  <c r="F23" i="1"/>
  <c r="C23" i="1"/>
  <c r="D8" i="1"/>
  <c r="D10" i="1" s="1"/>
  <c r="C8" i="1"/>
  <c r="C10" i="1" s="1"/>
</calcChain>
</file>

<file path=xl/sharedStrings.xml><?xml version="1.0" encoding="utf-8"?>
<sst xmlns="http://schemas.openxmlformats.org/spreadsheetml/2006/main" count="100" uniqueCount="36">
  <si>
    <t>စဉ်</t>
  </si>
  <si>
    <t>အကြောင်းအရာ</t>
  </si>
  <si>
    <t>အင်အား</t>
  </si>
  <si>
    <t>မှတ်ချက်</t>
  </si>
  <si>
    <t>မြို့ပြ</t>
  </si>
  <si>
    <t>နိုင်ငံရေး</t>
  </si>
  <si>
    <t>ကာကွယ်ရေး</t>
  </si>
  <si>
    <t>ရဲတပ်ဖွဲ့</t>
  </si>
  <si>
    <t>ပေါင်း</t>
  </si>
  <si>
    <t>လုပ်ငန်း</t>
  </si>
  <si>
    <t>စုစုပေါင်း</t>
  </si>
  <si>
    <t>၂၀၂၅ခုနှစ်၊ ဇူလိုင်လအထိ ပင်စင်အင်အားနှင့် အသုံးစရိတ်</t>
  </si>
  <si>
    <t>အသုံးစရိတ် (ကျပ်သန်းပေါင်း)</t>
  </si>
  <si>
    <t>ခေါင်းစဉ်</t>
  </si>
  <si>
    <t>ရှိရင်းပင်စင်စားအင်အား</t>
  </si>
  <si>
    <t>ပင်စင်လစာ အသုံးစရိတ်</t>
  </si>
  <si>
    <t>ဆုငွေအသုံးစရိတ်</t>
  </si>
  <si>
    <t>စုစုပေါင်းအသုံးစရိတ်</t>
  </si>
  <si>
    <t>မြန်မာနိုင်ငံရဲတပ်ဖွဲ့</t>
  </si>
  <si>
    <t>လစဉ်ပျှမ်းမျှထုတ်ယူသည့် ပင်စင်စားအင်အား၊ ပင်စင်နှင့် ဆုငွေအသုံးစရိတ် (နေပြည်တော်၊ ရန်ကုန်၊ မန္တလေး)</t>
  </si>
  <si>
    <t>ထုတ်ယူပင်စင်စားအင်အား</t>
  </si>
  <si>
    <t>ပင်စင်လစာအသုံးစရိတ်</t>
  </si>
  <si>
    <t>ပြည်နယ်နှင့်တိုင်းဒေသကြီးအလိုက် ကာကွယ်ရေးအင်အားစာရင်း</t>
  </si>
  <si>
    <t>တိုင်းဒေသကြီး/ပြည်နယ်</t>
  </si>
  <si>
    <t>ဦးရေ</t>
  </si>
  <si>
    <t>မန္တလေးတိုင်းဒေသကြီး</t>
  </si>
  <si>
    <t>ရန်ကုန်တိုင်းဒေသကြီး</t>
  </si>
  <si>
    <t>နေပြည်တော်တိုင်း</t>
  </si>
  <si>
    <t>၂၀၂၅-၂၀၂၆ ဘဏ္ဍာရေးနှစ်အတွက် (ဧပြီ၊ မေ၊ ဇွန်၊ ဇူလိုင်) ပင်စင်စားအင်အားနှင့် ပင်စင်၊ ဆုငွေ အသုံးစရိတ် (ရန်ကုန်)</t>
  </si>
  <si>
    <t>ရဲတပ်ဖွဲ့ဝင်</t>
  </si>
  <si>
    <t>၂၀၂၅-၂၀၂၆ ဘဏ္ဍာရေးနှစ်အတွက် (ဧပြီ၊ မေ၊ ဇွန်၊ ဇူလိုင်) ပင်စင်အင်အားနှင့် ပင်စင်၊ ဆုငွေ အသုံးစရိတ် (နေပြည်တော်)</t>
  </si>
  <si>
    <t>စုစု‌ပေါင်း</t>
  </si>
  <si>
    <t>၂၀၂၅-၂၀၂၆ ဘဏ္ဍာရေးနှစ်အတွက် (ဧပြီ၊ မေ၊ ဇွန်၊ ဇူလိုင်) ပင်စင်စားအင်အားနှင့် ပင်စင်၊ ဆုငွေ အသုံးစရိတ် (မန္တလေး)</t>
  </si>
  <si>
    <t>လစဉ်ပျမ်းမျှထုတ်ယူသည့် ပင်စင်စားအင်အားနှင့် ပင်စင်၊ ဆုငွေ အသုံးစရိတ် (မန္တလေး)</t>
  </si>
  <si>
    <t>၂၀၂၅-၂၀၂၆ ဘဏ္ဍာရေးနှစ်အတွက် (ဧပြီ၊ မေ၊ ဇွန်) ရှိရင်း ပင်စင်စားအင်စား၊ ပင်စင်နှင့်ဆုငွေ အသုံးစရိတ် (နေပြည်တော်၊ ရန်ကုန်၊ မန္တလေး)</t>
  </si>
  <si>
    <t>စုစုပေါင်းအသုံးစရိတ် ((ကျပ်) ဘီလီယံ)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</si>
</sst>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10000455]0"/>
    <numFmt numFmtId="165" formatCode="_(* #,##0.000_);_(* \(#,##0.000\);_(* &quot;-&quot;??_);_(@_)"/>
    <numFmt numFmtId="166" formatCode="_(* #,##0_);_(* \(#,##0\);_(* &quot;-&quot;??_);_(@_)"/>
    <numFmt numFmtId="167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6" fontId="0" fillId="0" borderId="1" xfId="1" applyNumberFormat="1" applyFont="1" applyBorder="1"/>
    <xf numFmtId="165" fontId="0" fillId="0" borderId="1" xfId="1" applyNumberFormat="1" applyFont="1" applyBorder="1"/>
    <xf numFmtId="167" fontId="0" fillId="0" borderId="1" xfId="0" applyNumberFormat="1" applyBorder="1"/>
    <xf numFmtId="0" fontId="2" fillId="0" borderId="0" xfId="0" applyFont="1"/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820F-1B29-49EE-874E-AF85805B00BE}">
  <dimension ref="A1:G92"/>
  <sheetViews>
    <sheetView tabSelected="1" topLeftCell="A52" workbookViewId="0">
      <selection activeCell="K66" sqref="K66"/>
    </sheetView>
  </sheetViews>
  <sheetFormatPr defaultRowHeight="14.4" x14ac:dyDescent="0.3"/>
  <cols>
    <col min="1" max="1" width="8.77734375" customWidth="1"/>
    <col min="2" max="2" width="22.88671875" customWidth="1"/>
    <col min="3" max="3" width="19.33203125" customWidth="1"/>
    <col min="4" max="4" width="24.21875" bestFit="1" customWidth="1"/>
    <col min="5" max="5" width="14.88671875" bestFit="1" customWidth="1"/>
    <col min="6" max="6" width="31" bestFit="1" customWidth="1"/>
  </cols>
  <sheetData>
    <row r="1" spans="1:5" x14ac:dyDescent="0.3">
      <c r="B1" s="6" t="s">
        <v>11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12</v>
      </c>
      <c r="E3" s="1" t="s">
        <v>3</v>
      </c>
    </row>
    <row r="4" spans="1:5" x14ac:dyDescent="0.3">
      <c r="A4" s="2">
        <v>1</v>
      </c>
      <c r="B4" s="1" t="s">
        <v>4</v>
      </c>
      <c r="C4" s="3">
        <v>425110</v>
      </c>
      <c r="D4" s="4">
        <v>183656.65400000001</v>
      </c>
      <c r="E4" s="1"/>
    </row>
    <row r="5" spans="1:5" x14ac:dyDescent="0.3">
      <c r="A5" s="2">
        <v>2</v>
      </c>
      <c r="B5" s="1" t="s">
        <v>5</v>
      </c>
      <c r="C5" s="3">
        <v>48596</v>
      </c>
      <c r="D5" s="4">
        <v>8576.5859999999993</v>
      </c>
      <c r="E5" s="1"/>
    </row>
    <row r="6" spans="1:5" x14ac:dyDescent="0.3">
      <c r="A6" s="2">
        <v>3</v>
      </c>
      <c r="B6" s="1" t="s">
        <v>6</v>
      </c>
      <c r="C6" s="3">
        <v>315449</v>
      </c>
      <c r="D6" s="4">
        <v>234405.70199999999</v>
      </c>
      <c r="E6" s="1"/>
    </row>
    <row r="7" spans="1:5" x14ac:dyDescent="0.3">
      <c r="A7" s="2">
        <v>4</v>
      </c>
      <c r="B7" s="1" t="s">
        <v>7</v>
      </c>
      <c r="C7" s="3">
        <v>42667</v>
      </c>
      <c r="D7" s="4">
        <v>14106.564</v>
      </c>
      <c r="E7" s="1"/>
    </row>
    <row r="8" spans="1:5" x14ac:dyDescent="0.3">
      <c r="A8" s="7" t="s">
        <v>8</v>
      </c>
      <c r="B8" s="7"/>
      <c r="C8" s="3">
        <f>SUM(C4:C7)</f>
        <v>831822</v>
      </c>
      <c r="D8" s="4">
        <f>SUM(D4:D7)</f>
        <v>440745.50600000005</v>
      </c>
      <c r="E8" s="1"/>
    </row>
    <row r="9" spans="1:5" x14ac:dyDescent="0.3">
      <c r="A9" s="2">
        <v>5</v>
      </c>
      <c r="B9" s="1" t="s">
        <v>9</v>
      </c>
      <c r="C9" s="3">
        <v>161451</v>
      </c>
      <c r="D9" s="4">
        <v>80438.656000000003</v>
      </c>
      <c r="E9" s="1"/>
    </row>
    <row r="10" spans="1:5" x14ac:dyDescent="0.3">
      <c r="A10" s="7" t="s">
        <v>10</v>
      </c>
      <c r="B10" s="7"/>
      <c r="C10" s="4">
        <f>SUM(C8,C9)</f>
        <v>993273</v>
      </c>
      <c r="D10" s="4">
        <f>SUM(D8,D9)</f>
        <v>521184.16200000007</v>
      </c>
      <c r="E10" s="1"/>
    </row>
    <row r="15" spans="1:5" x14ac:dyDescent="0.3">
      <c r="B15" s="6" t="s">
        <v>34</v>
      </c>
    </row>
    <row r="18" spans="1:6" x14ac:dyDescent="0.3">
      <c r="A18" s="1" t="s">
        <v>0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35</v>
      </c>
    </row>
    <row r="19" spans="1:6" x14ac:dyDescent="0.3">
      <c r="A19" s="2">
        <v>1</v>
      </c>
      <c r="B19" s="1" t="s">
        <v>4</v>
      </c>
      <c r="C19" s="3">
        <v>199592</v>
      </c>
      <c r="D19" s="5">
        <v>17.3</v>
      </c>
      <c r="E19" s="5">
        <v>6.25</v>
      </c>
      <c r="F19" s="5">
        <v>23.55</v>
      </c>
    </row>
    <row r="20" spans="1:6" x14ac:dyDescent="0.3">
      <c r="A20" s="2">
        <v>2</v>
      </c>
      <c r="B20" s="1" t="s">
        <v>5</v>
      </c>
      <c r="C20" s="3">
        <v>12246</v>
      </c>
      <c r="D20" s="5">
        <v>0.75</v>
      </c>
      <c r="E20" s="5"/>
      <c r="F20" s="5">
        <v>0.75</v>
      </c>
    </row>
    <row r="21" spans="1:6" x14ac:dyDescent="0.3">
      <c r="A21" s="2">
        <v>3</v>
      </c>
      <c r="B21" s="1" t="s">
        <v>6</v>
      </c>
      <c r="C21" s="3">
        <v>147231</v>
      </c>
      <c r="D21" s="1">
        <v>59.994999999999997</v>
      </c>
      <c r="E21" s="1">
        <v>28.492000000000001</v>
      </c>
      <c r="F21" s="1">
        <v>88.486999999999995</v>
      </c>
    </row>
    <row r="22" spans="1:6" x14ac:dyDescent="0.3">
      <c r="A22" s="2">
        <v>4</v>
      </c>
      <c r="B22" s="1" t="s">
        <v>18</v>
      </c>
      <c r="C22" s="3">
        <v>17765</v>
      </c>
      <c r="D22" s="1"/>
      <c r="E22" s="1"/>
      <c r="F22" s="1"/>
    </row>
    <row r="23" spans="1:6" x14ac:dyDescent="0.3">
      <c r="A23" s="7" t="s">
        <v>10</v>
      </c>
      <c r="B23" s="7"/>
      <c r="C23" s="3">
        <f>SUM(C19:C22)</f>
        <v>376834</v>
      </c>
      <c r="D23" s="1">
        <f t="shared" ref="D23:F23" si="0">SUM(D19:D22)</f>
        <v>78.045000000000002</v>
      </c>
      <c r="E23" s="1">
        <f t="shared" si="0"/>
        <v>34.742000000000004</v>
      </c>
      <c r="F23" s="1">
        <f t="shared" si="0"/>
        <v>112.78699999999999</v>
      </c>
    </row>
    <row r="28" spans="1:6" x14ac:dyDescent="0.3">
      <c r="B28" s="6" t="s">
        <v>19</v>
      </c>
    </row>
    <row r="31" spans="1:6" x14ac:dyDescent="0.3">
      <c r="A31" s="1" t="s">
        <v>0</v>
      </c>
      <c r="B31" s="1" t="s">
        <v>13</v>
      </c>
      <c r="C31" s="1" t="s">
        <v>20</v>
      </c>
      <c r="D31" s="1" t="s">
        <v>21</v>
      </c>
      <c r="E31" s="1" t="s">
        <v>16</v>
      </c>
      <c r="F31" s="1" t="s">
        <v>35</v>
      </c>
    </row>
    <row r="32" spans="1:6" x14ac:dyDescent="0.3">
      <c r="A32" s="2">
        <v>1</v>
      </c>
      <c r="B32" s="1" t="s">
        <v>4</v>
      </c>
      <c r="C32" s="3">
        <v>113047</v>
      </c>
      <c r="D32" s="1">
        <v>5.7670000000000003</v>
      </c>
      <c r="E32" s="1">
        <v>2.0830000000000002</v>
      </c>
      <c r="F32" s="1">
        <v>7.85</v>
      </c>
    </row>
    <row r="33" spans="1:6" x14ac:dyDescent="0.3">
      <c r="A33" s="2">
        <v>2</v>
      </c>
      <c r="B33" s="1" t="s">
        <v>5</v>
      </c>
      <c r="C33" s="3">
        <v>5544</v>
      </c>
      <c r="D33" s="5">
        <v>0.25</v>
      </c>
      <c r="E33" s="5"/>
      <c r="F33" s="5">
        <v>0.25</v>
      </c>
    </row>
    <row r="34" spans="1:6" x14ac:dyDescent="0.3">
      <c r="A34" s="2">
        <v>3</v>
      </c>
      <c r="B34" s="1" t="s">
        <v>6</v>
      </c>
      <c r="C34" s="3">
        <v>90322</v>
      </c>
      <c r="D34" s="1">
        <v>19.998000000000001</v>
      </c>
      <c r="E34" s="1">
        <v>9.4969999999999999</v>
      </c>
      <c r="F34" s="1">
        <v>29.495000000000001</v>
      </c>
    </row>
    <row r="35" spans="1:6" x14ac:dyDescent="0.3">
      <c r="A35" s="2">
        <v>4</v>
      </c>
      <c r="B35" s="1" t="s">
        <v>18</v>
      </c>
      <c r="C35" s="3">
        <v>5922</v>
      </c>
      <c r="D35" s="1">
        <v>1.0649999999999999</v>
      </c>
      <c r="E35" s="1">
        <v>0.497</v>
      </c>
      <c r="F35" s="5">
        <v>1.56</v>
      </c>
    </row>
    <row r="36" spans="1:6" x14ac:dyDescent="0.3">
      <c r="A36" s="1"/>
      <c r="B36" s="1" t="s">
        <v>10</v>
      </c>
      <c r="C36" s="3">
        <f>SUM(C32:C35)</f>
        <v>214835</v>
      </c>
      <c r="D36" s="1">
        <f t="shared" ref="D36:F36" si="1">SUM(D32:D35)</f>
        <v>27.080000000000002</v>
      </c>
      <c r="E36" s="1">
        <f t="shared" si="1"/>
        <v>12.077</v>
      </c>
      <c r="F36" s="1">
        <f t="shared" si="1"/>
        <v>39.155000000000001</v>
      </c>
    </row>
    <row r="41" spans="1:6" x14ac:dyDescent="0.3">
      <c r="B41" s="6" t="s">
        <v>22</v>
      </c>
    </row>
    <row r="43" spans="1:6" x14ac:dyDescent="0.3">
      <c r="A43" s="1" t="s">
        <v>0</v>
      </c>
      <c r="B43" s="1" t="s">
        <v>23</v>
      </c>
      <c r="C43" s="1" t="s">
        <v>24</v>
      </c>
      <c r="D43" s="1" t="s">
        <v>21</v>
      </c>
      <c r="E43" s="1" t="s">
        <v>16</v>
      </c>
      <c r="F43" s="1" t="s">
        <v>17</v>
      </c>
    </row>
    <row r="44" spans="1:6" x14ac:dyDescent="0.3">
      <c r="A44" s="2">
        <v>1</v>
      </c>
      <c r="B44" s="1" t="s">
        <v>25</v>
      </c>
      <c r="C44" s="3">
        <v>37301</v>
      </c>
      <c r="D44" s="5">
        <v>5.07</v>
      </c>
      <c r="E44" s="5">
        <v>2.93</v>
      </c>
      <c r="F44" s="5">
        <v>8</v>
      </c>
    </row>
    <row r="45" spans="1:6" x14ac:dyDescent="0.3">
      <c r="A45" s="2">
        <v>2</v>
      </c>
      <c r="B45" s="1" t="s">
        <v>26</v>
      </c>
      <c r="C45" s="3">
        <v>96234</v>
      </c>
      <c r="D45" s="5">
        <v>13.058</v>
      </c>
      <c r="E45" s="5">
        <v>6.1130000000000004</v>
      </c>
      <c r="F45" s="5">
        <v>19.170999999999999</v>
      </c>
    </row>
    <row r="46" spans="1:6" x14ac:dyDescent="0.3">
      <c r="A46" s="2">
        <v>3</v>
      </c>
      <c r="B46" s="1" t="s">
        <v>27</v>
      </c>
      <c r="C46" s="3">
        <v>14814</v>
      </c>
      <c r="D46" s="5">
        <v>2.6920000000000002</v>
      </c>
      <c r="E46" s="5">
        <v>1.7569999999999999</v>
      </c>
      <c r="F46" s="5">
        <v>4.4489999999999998</v>
      </c>
    </row>
    <row r="47" spans="1:6" x14ac:dyDescent="0.3">
      <c r="A47" s="7" t="s">
        <v>10</v>
      </c>
      <c r="B47" s="7"/>
      <c r="C47" s="3">
        <v>148349</v>
      </c>
      <c r="D47" s="5">
        <v>20.818999999999999</v>
      </c>
      <c r="E47" s="5">
        <v>10.801</v>
      </c>
      <c r="F47" s="5">
        <v>31.62</v>
      </c>
    </row>
    <row r="52" spans="1:7" x14ac:dyDescent="0.3">
      <c r="B52" s="6" t="s">
        <v>28</v>
      </c>
    </row>
    <row r="54" spans="1:7" x14ac:dyDescent="0.3">
      <c r="A54" s="1" t="s">
        <v>0</v>
      </c>
      <c r="B54" s="1" t="s">
        <v>13</v>
      </c>
      <c r="C54" s="1" t="s">
        <v>14</v>
      </c>
      <c r="D54" s="1" t="s">
        <v>21</v>
      </c>
      <c r="E54" s="1" t="s">
        <v>16</v>
      </c>
      <c r="F54" s="1" t="s">
        <v>35</v>
      </c>
      <c r="G54" s="1" t="s">
        <v>3</v>
      </c>
    </row>
    <row r="55" spans="1:7" x14ac:dyDescent="0.3">
      <c r="A55" s="2">
        <v>1</v>
      </c>
      <c r="B55" s="1" t="s">
        <v>4</v>
      </c>
      <c r="C55" s="3">
        <v>138267</v>
      </c>
      <c r="D55" s="1">
        <v>46.929000000000002</v>
      </c>
      <c r="E55" s="1">
        <v>14.214</v>
      </c>
      <c r="F55" s="1">
        <v>61.143000000000001</v>
      </c>
      <c r="G55" s="1"/>
    </row>
    <row r="56" spans="1:7" x14ac:dyDescent="0.3">
      <c r="A56" s="2">
        <v>2</v>
      </c>
      <c r="B56" s="1" t="s">
        <v>5</v>
      </c>
      <c r="C56" s="3">
        <v>5691</v>
      </c>
      <c r="D56" s="1">
        <v>1.385</v>
      </c>
      <c r="E56" s="1">
        <v>0</v>
      </c>
      <c r="F56" s="1">
        <v>1.385</v>
      </c>
      <c r="G56" s="1"/>
    </row>
    <row r="57" spans="1:7" x14ac:dyDescent="0.3">
      <c r="A57" s="2">
        <v>3</v>
      </c>
      <c r="B57" s="1" t="s">
        <v>6</v>
      </c>
      <c r="C57" s="3">
        <v>96234</v>
      </c>
      <c r="D57" s="1"/>
      <c r="E57" s="1"/>
      <c r="F57" s="1"/>
      <c r="G57" s="1"/>
    </row>
    <row r="58" spans="1:7" x14ac:dyDescent="0.3">
      <c r="A58" s="2">
        <v>4</v>
      </c>
      <c r="B58" s="1" t="s">
        <v>29</v>
      </c>
      <c r="C58" s="3"/>
      <c r="D58" s="1"/>
      <c r="E58" s="1"/>
      <c r="F58" s="1"/>
      <c r="G58" s="1"/>
    </row>
    <row r="59" spans="1:7" x14ac:dyDescent="0.3">
      <c r="A59" s="7" t="s">
        <v>10</v>
      </c>
      <c r="B59" s="7"/>
      <c r="C59" s="3">
        <v>143958</v>
      </c>
      <c r="D59" s="1">
        <v>43.314</v>
      </c>
      <c r="E59" s="1">
        <v>14.214</v>
      </c>
      <c r="F59" s="1">
        <v>62.527999999999999</v>
      </c>
      <c r="G59" s="1"/>
    </row>
    <row r="64" spans="1:7" x14ac:dyDescent="0.3">
      <c r="B64" s="6" t="s">
        <v>30</v>
      </c>
    </row>
    <row r="66" spans="1:7" x14ac:dyDescent="0.3">
      <c r="A66" s="1" t="s">
        <v>0</v>
      </c>
      <c r="B66" s="1" t="s">
        <v>13</v>
      </c>
      <c r="C66" s="1" t="s">
        <v>14</v>
      </c>
      <c r="D66" s="1" t="s">
        <v>21</v>
      </c>
      <c r="E66" s="1" t="s">
        <v>16</v>
      </c>
      <c r="F66" s="1" t="s">
        <v>35</v>
      </c>
      <c r="G66" s="1" t="s">
        <v>3</v>
      </c>
    </row>
    <row r="67" spans="1:7" x14ac:dyDescent="0.3">
      <c r="A67" s="2">
        <v>1</v>
      </c>
      <c r="B67" s="1" t="s">
        <v>4</v>
      </c>
      <c r="C67" s="3">
        <v>11102</v>
      </c>
      <c r="D67" s="1">
        <v>4.5279999999999996</v>
      </c>
      <c r="E67" s="1">
        <v>1.9650000000000001</v>
      </c>
      <c r="F67" s="1">
        <v>6.4930000000000003</v>
      </c>
      <c r="G67" s="1"/>
    </row>
    <row r="68" spans="1:7" x14ac:dyDescent="0.3">
      <c r="A68" s="2">
        <v>2</v>
      </c>
      <c r="B68" s="1" t="s">
        <v>5</v>
      </c>
      <c r="C68" s="3">
        <v>1022</v>
      </c>
      <c r="D68" s="1">
        <v>0.308</v>
      </c>
      <c r="E68" s="1">
        <v>0</v>
      </c>
      <c r="F68" s="1">
        <v>0.308</v>
      </c>
      <c r="G68" s="1"/>
    </row>
    <row r="69" spans="1:7" x14ac:dyDescent="0.3">
      <c r="A69" s="2">
        <v>3</v>
      </c>
      <c r="B69" s="1" t="s">
        <v>6</v>
      </c>
      <c r="C69" s="3"/>
      <c r="D69" s="1"/>
      <c r="E69" s="1"/>
      <c r="F69" s="1"/>
      <c r="G69" s="1"/>
    </row>
    <row r="70" spans="1:7" x14ac:dyDescent="0.3">
      <c r="A70" s="2">
        <v>4</v>
      </c>
      <c r="B70" s="1" t="s">
        <v>29</v>
      </c>
      <c r="C70" s="3"/>
      <c r="D70" s="1"/>
      <c r="E70" s="1"/>
      <c r="F70" s="1"/>
      <c r="G70" s="1"/>
    </row>
    <row r="71" spans="1:7" x14ac:dyDescent="0.3">
      <c r="A71" s="7" t="s">
        <v>31</v>
      </c>
      <c r="B71" s="7"/>
      <c r="C71" s="3">
        <v>12124</v>
      </c>
      <c r="D71" s="1">
        <v>4.8360000000000003</v>
      </c>
      <c r="E71" s="1">
        <v>1.9650000000000001</v>
      </c>
      <c r="F71" s="1">
        <v>6.8010000000000002</v>
      </c>
      <c r="G71" s="1"/>
    </row>
    <row r="75" spans="1:7" x14ac:dyDescent="0.3">
      <c r="B75" s="6" t="s">
        <v>32</v>
      </c>
    </row>
    <row r="77" spans="1:7" x14ac:dyDescent="0.3">
      <c r="A77" s="1" t="s">
        <v>0</v>
      </c>
      <c r="B77" s="1" t="s">
        <v>13</v>
      </c>
      <c r="C77" s="1" t="s">
        <v>14</v>
      </c>
      <c r="D77" s="1" t="s">
        <v>21</v>
      </c>
      <c r="E77" s="1" t="s">
        <v>16</v>
      </c>
      <c r="F77" s="1" t="s">
        <v>35</v>
      </c>
      <c r="G77" s="1" t="s">
        <v>3</v>
      </c>
    </row>
    <row r="78" spans="1:7" x14ac:dyDescent="0.3">
      <c r="A78" s="2">
        <v>1</v>
      </c>
      <c r="B78" s="1" t="s">
        <v>4</v>
      </c>
      <c r="C78" s="3">
        <v>50741</v>
      </c>
      <c r="D78" s="1">
        <v>18.231000000000002</v>
      </c>
      <c r="E78" s="1">
        <v>6.6779999999999999</v>
      </c>
      <c r="F78" s="1">
        <v>24.908999999999999</v>
      </c>
      <c r="G78" s="1"/>
    </row>
    <row r="79" spans="1:7" x14ac:dyDescent="0.3">
      <c r="A79" s="2">
        <v>2</v>
      </c>
      <c r="B79" s="1" t="s">
        <v>5</v>
      </c>
      <c r="C79" s="3">
        <v>5542</v>
      </c>
      <c r="D79" s="1">
        <v>1.218</v>
      </c>
      <c r="E79" s="5">
        <v>0</v>
      </c>
      <c r="F79" s="1">
        <v>1.218</v>
      </c>
      <c r="G79" s="1"/>
    </row>
    <row r="80" spans="1:7" x14ac:dyDescent="0.3">
      <c r="A80" s="2">
        <v>3</v>
      </c>
      <c r="B80" s="1" t="s">
        <v>6</v>
      </c>
      <c r="C80" s="3">
        <v>37301</v>
      </c>
      <c r="D80" s="1"/>
      <c r="E80" s="1"/>
      <c r="F80" s="1"/>
      <c r="G80" s="1"/>
    </row>
    <row r="81" spans="1:7" x14ac:dyDescent="0.3">
      <c r="A81" s="2">
        <v>4</v>
      </c>
      <c r="B81" s="1" t="s">
        <v>29</v>
      </c>
      <c r="C81" s="3"/>
      <c r="D81" s="1"/>
      <c r="E81" s="1"/>
      <c r="F81" s="1"/>
      <c r="G81" s="1"/>
    </row>
    <row r="82" spans="1:7" x14ac:dyDescent="0.3">
      <c r="A82" s="7" t="s">
        <v>31</v>
      </c>
      <c r="B82" s="7"/>
      <c r="C82" s="3">
        <v>56283</v>
      </c>
      <c r="D82" s="1">
        <v>19.449000000000002</v>
      </c>
      <c r="E82" s="1">
        <v>6.6779999999999999</v>
      </c>
      <c r="F82" s="1">
        <v>26.126999999999999</v>
      </c>
      <c r="G82" s="1"/>
    </row>
    <row r="85" spans="1:7" x14ac:dyDescent="0.3">
      <c r="B85" s="6" t="s">
        <v>33</v>
      </c>
    </row>
    <row r="87" spans="1:7" x14ac:dyDescent="0.3">
      <c r="A87" s="1" t="s">
        <v>0</v>
      </c>
      <c r="B87" s="1" t="s">
        <v>13</v>
      </c>
      <c r="C87" s="1" t="s">
        <v>20</v>
      </c>
      <c r="D87" s="1" t="s">
        <v>21</v>
      </c>
      <c r="E87" s="1" t="s">
        <v>16</v>
      </c>
      <c r="F87" s="1" t="s">
        <v>35</v>
      </c>
      <c r="G87" s="1" t="s">
        <v>3</v>
      </c>
    </row>
    <row r="88" spans="1:7" x14ac:dyDescent="0.3">
      <c r="A88" s="2">
        <v>1</v>
      </c>
      <c r="B88" s="1" t="s">
        <v>4</v>
      </c>
      <c r="C88" s="3">
        <v>33696</v>
      </c>
      <c r="D88" s="1">
        <v>4.5579999999999998</v>
      </c>
      <c r="E88" s="5">
        <v>1.67</v>
      </c>
      <c r="F88" s="1">
        <v>6.2279999999999998</v>
      </c>
      <c r="G88" s="1"/>
    </row>
    <row r="89" spans="1:7" x14ac:dyDescent="0.3">
      <c r="A89" s="2">
        <v>2</v>
      </c>
      <c r="B89" s="1" t="s">
        <v>5</v>
      </c>
      <c r="C89" s="3">
        <v>2557</v>
      </c>
      <c r="D89" s="1">
        <v>0.30499999999999999</v>
      </c>
      <c r="E89" s="5">
        <v>0</v>
      </c>
      <c r="F89" s="1">
        <v>0.30499999999999999</v>
      </c>
      <c r="G89" s="1"/>
    </row>
    <row r="90" spans="1:7" x14ac:dyDescent="0.3">
      <c r="A90" s="2">
        <v>3</v>
      </c>
      <c r="B90" s="1" t="s">
        <v>6</v>
      </c>
      <c r="C90" s="3"/>
      <c r="D90" s="1"/>
      <c r="E90" s="1"/>
      <c r="F90" s="1"/>
      <c r="G90" s="1"/>
    </row>
    <row r="91" spans="1:7" x14ac:dyDescent="0.3">
      <c r="A91" s="2">
        <v>4</v>
      </c>
      <c r="B91" s="1" t="s">
        <v>29</v>
      </c>
      <c r="C91" s="3"/>
      <c r="D91" s="1"/>
      <c r="E91" s="1"/>
      <c r="F91" s="1"/>
      <c r="G91" s="1"/>
    </row>
    <row r="92" spans="1:7" x14ac:dyDescent="0.3">
      <c r="A92" s="1"/>
      <c r="B92" s="1" t="s">
        <v>10</v>
      </c>
      <c r="C92" s="3">
        <v>36253</v>
      </c>
      <c r="D92" s="1">
        <v>4.8630000000000004</v>
      </c>
      <c r="E92" s="5">
        <v>1.67</v>
      </c>
      <c r="F92" s="1">
        <v>6.5330000000000004</v>
      </c>
      <c r="G92" s="1"/>
    </row>
  </sheetData>
  <mergeCells count="7">
    <mergeCell ref="A82:B82"/>
    <mergeCell ref="A8:B8"/>
    <mergeCell ref="A10:B10"/>
    <mergeCell ref="A23:B23"/>
    <mergeCell ref="A47:B47"/>
    <mergeCell ref="A59:B59"/>
    <mergeCell ref="A71:B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 Ko Aung</dc:creator>
  <cp:lastModifiedBy>Ko Ko Aung</cp:lastModifiedBy>
  <dcterms:created xsi:type="dcterms:W3CDTF">2025-10-16T03:56:59Z</dcterms:created>
  <dcterms:modified xsi:type="dcterms:W3CDTF">2025-10-16T05:08:00Z</dcterms:modified>
</cp:coreProperties>
</file>